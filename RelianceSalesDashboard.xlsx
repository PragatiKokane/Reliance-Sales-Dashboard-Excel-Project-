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Ex4.xml" ContentType="application/vnd.ms-office.chartex+xml"/>
  <Override PartName="/xl/charts/style25.xml" ContentType="application/vnd.ms-office.chartstyle+xml"/>
  <Override PartName="/xl/charts/colors25.xml" ContentType="application/vnd.ms-office.chartcolorstyle+xml"/>
  <Override PartName="/xl/charts/chartEx5.xml" ContentType="application/vnd.ms-office.chartex+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slicers/slicer5.xml" ContentType="application/vnd.ms-excel.slicer+xml"/>
  <Override PartName="/xl/charts/chart22.xml" ContentType="application/vnd.openxmlformats-officedocument.drawingml.chart+xml"/>
  <Override PartName="/xl/charts/style27.xml" ContentType="application/vnd.ms-office.chartstyle+xml"/>
  <Override PartName="/xl/charts/colors27.xml" ContentType="application/vnd.ms-office.chartcolorstyle+xml"/>
  <Override PartName="/xl/charts/chart23.xml" ContentType="application/vnd.openxmlformats-officedocument.drawingml.chart+xml"/>
  <Override PartName="/xl/charts/style28.xml" ContentType="application/vnd.ms-office.chartstyle+xml"/>
  <Override PartName="/xl/charts/colors28.xml" ContentType="application/vnd.ms-office.chartcolorstyle+xml"/>
  <Override PartName="/xl/charts/chart24.xml" ContentType="application/vnd.openxmlformats-officedocument.drawingml.chart+xml"/>
  <Override PartName="/xl/charts/style29.xml" ContentType="application/vnd.ms-office.chartstyle+xml"/>
  <Override PartName="/xl/charts/colors29.xml" ContentType="application/vnd.ms-office.chartcolorstyle+xml"/>
  <Override PartName="/xl/charts/chart25.xml" ContentType="application/vnd.openxmlformats-officedocument.drawingml.chart+xml"/>
  <Override PartName="/xl/charts/style30.xml" ContentType="application/vnd.ms-office.chartstyle+xml"/>
  <Override PartName="/xl/charts/colors30.xml" ContentType="application/vnd.ms-office.chartcolorstyle+xml"/>
  <Override PartName="/xl/charts/chartEx6.xml" ContentType="application/vnd.ms-office.chartex+xml"/>
  <Override PartName="/xl/charts/style31.xml" ContentType="application/vnd.ms-office.chartstyle+xml"/>
  <Override PartName="/xl/charts/colors31.xml" ContentType="application/vnd.ms-office.chartcolorstyle+xml"/>
  <Override PartName="/xl/charts/chart26.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xml" ContentType="application/vnd.openxmlformats-officedocument.drawing+xml"/>
  <Override PartName="/xl/slicers/slicer6.xml" ContentType="application/vnd.ms-excel.slicer+xml"/>
  <Override PartName="/xl/charts/chart27.xml" ContentType="application/vnd.openxmlformats-officedocument.drawingml.chart+xml"/>
  <Override PartName="/xl/charts/style33.xml" ContentType="application/vnd.ms-office.chartstyle+xml"/>
  <Override PartName="/xl/charts/colors33.xml" ContentType="application/vnd.ms-office.chartcolorstyle+xml"/>
  <Override PartName="/xl/charts/chart28.xml" ContentType="application/vnd.openxmlformats-officedocument.drawingml.chart+xml"/>
  <Override PartName="/xl/charts/style34.xml" ContentType="application/vnd.ms-office.chartstyle+xml"/>
  <Override PartName="/xl/charts/colors34.xml" ContentType="application/vnd.ms-office.chartcolorstyle+xml"/>
  <Override PartName="/xl/charts/chart29.xml" ContentType="application/vnd.openxmlformats-officedocument.drawingml.chart+xml"/>
  <Override PartName="/xl/charts/style35.xml" ContentType="application/vnd.ms-office.chartstyle+xml"/>
  <Override PartName="/xl/charts/colors35.xml" ContentType="application/vnd.ms-office.chartcolorstyle+xml"/>
  <Override PartName="/xl/charts/chart30.xml" ContentType="application/vnd.openxmlformats-officedocument.drawingml.chart+xml"/>
  <Override PartName="/xl/charts/style36.xml" ContentType="application/vnd.ms-office.chartstyle+xml"/>
  <Override PartName="/xl/charts/colors36.xml" ContentType="application/vnd.ms-office.chartcolorstyle+xml"/>
  <Override PartName="/xl/charts/chart31.xml" ContentType="application/vnd.openxmlformats-officedocument.drawingml.chart+xml"/>
  <Override PartName="/xl/charts/style37.xml" ContentType="application/vnd.ms-office.chartstyle+xml"/>
  <Override PartName="/xl/charts/colors37.xml" ContentType="application/vnd.ms-office.chartcolorstyle+xml"/>
  <Override PartName="/xl/charts/chart32.xml" ContentType="application/vnd.openxmlformats-officedocument.drawingml.chart+xml"/>
  <Override PartName="/xl/charts/style38.xml" ContentType="application/vnd.ms-office.chartstyle+xml"/>
  <Override PartName="/xl/charts/colors3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2eff73a910cea4d7/Desktop/Excel/"/>
    </mc:Choice>
  </mc:AlternateContent>
  <xr:revisionPtr revIDLastSave="976" documentId="8_{412EF0CE-3A5A-4E16-8BB4-47EC4FD6BBD4}" xr6:coauthVersionLast="47" xr6:coauthVersionMax="47" xr10:uidLastSave="{C8140076-E735-446B-97B8-B7CA620E0B55}"/>
  <bookViews>
    <workbookView xWindow="-108" yWindow="-108" windowWidth="23256" windowHeight="12456" firstSheet="1" activeTab="1" xr2:uid="{75C2E46B-81D6-43E6-B4DD-5B16D97AD7FA}"/>
  </bookViews>
  <sheets>
    <sheet name="Sheet1" sheetId="1" r:id="rId1"/>
    <sheet name="Case Study Perform" sheetId="2" r:id="rId2"/>
    <sheet name="Dashboard1PivotTables" sheetId="5" r:id="rId3"/>
    <sheet name="Dashboard2PivotTables " sheetId="3" r:id="rId4"/>
    <sheet name="Dashboard3PivotTables" sheetId="7" r:id="rId5"/>
    <sheet name="SALES PERFORMANCE DASHBOARD" sheetId="4" r:id="rId6"/>
    <sheet name=" PRODUCT PERFORMANCE DASHBOARD " sheetId="6" r:id="rId7"/>
    <sheet name="REGIONAL BUSINESS DASHBOARD" sheetId="9" r:id="rId8"/>
  </sheets>
  <definedNames>
    <definedName name="_xlchart.v1.10" hidden="1">'Dashboard2PivotTables '!$C$97</definedName>
    <definedName name="_xlchart.v1.11" hidden="1">'Dashboard2PivotTables '!$C$98:$C$101</definedName>
    <definedName name="_xlchart.v1.12" hidden="1">'Dashboard2PivotTables '!$B$98:$B$101</definedName>
    <definedName name="_xlchart.v1.13" hidden="1">'Dashboard2PivotTables '!$C$97</definedName>
    <definedName name="_xlchart.v1.14" hidden="1">'Dashboard2PivotTables '!$C$98:$C$101</definedName>
    <definedName name="_xlchart.v1.19" hidden="1">Dashboard1PivotTables!$A$100:$A$111</definedName>
    <definedName name="_xlchart.v1.20" hidden="1">Dashboard1PivotTables!$B$100:$B$111</definedName>
    <definedName name="_xlchart.v1.21" hidden="1">Dashboard1PivotTables!$B$99</definedName>
    <definedName name="_xlchart.v1.22" hidden="1">Dashboard1PivotTables!$C$100:$C$111</definedName>
    <definedName name="_xlchart.v1.23" hidden="1">Dashboard1PivotTables!$C$99</definedName>
    <definedName name="_xlchart.v1.24" hidden="1">'Dashboard2PivotTables '!$B$98:$B$101</definedName>
    <definedName name="_xlchart.v1.25" hidden="1">'Dashboard2PivotTables '!$C$97</definedName>
    <definedName name="_xlchart.v1.26" hidden="1">'Dashboard2PivotTables '!$C$98:$C$101</definedName>
    <definedName name="_xlchart.v1.4" hidden="1">Dashboard1PivotTables!$A$100:$A$111</definedName>
    <definedName name="_xlchart.v1.5" hidden="1">Dashboard1PivotTables!$B$100:$B$111</definedName>
    <definedName name="_xlchart.v1.6" hidden="1">Dashboard1PivotTables!$B$99</definedName>
    <definedName name="_xlchart.v1.7" hidden="1">Dashboard1PivotTables!$C$100:$C$111</definedName>
    <definedName name="_xlchart.v1.8" hidden="1">Dashboard1PivotTables!$C$99</definedName>
    <definedName name="_xlchart.v1.9" hidden="1">'Dashboard2PivotTables '!$B$98:$B$101</definedName>
    <definedName name="_xlchart.v5.0" hidden="1">Dashboard1PivotTables!$D$117</definedName>
    <definedName name="_xlchart.v5.1" hidden="1">Dashboard1PivotTables!$D$118:$D$134</definedName>
    <definedName name="_xlchart.v5.15" hidden="1">Dashboard1PivotTables!$D$117</definedName>
    <definedName name="_xlchart.v5.16" hidden="1">Dashboard1PivotTables!$D$118:$D$134</definedName>
    <definedName name="_xlchart.v5.17" hidden="1">Dashboard1PivotTables!$E$117</definedName>
    <definedName name="_xlchart.v5.18" hidden="1">Dashboard1PivotTables!$E$118:$E$134</definedName>
    <definedName name="_xlchart.v5.2" hidden="1">Dashboard1PivotTables!$E$117</definedName>
    <definedName name="_xlchart.v5.3" hidden="1">Dashboard1PivotTables!$E$118:$E$134</definedName>
    <definedName name="Slicer_Months__Order_Date">#N/A</definedName>
    <definedName name="Slicer_Product_Category">#N/A</definedName>
    <definedName name="Slicer_Product_Category1">#N/A</definedName>
    <definedName name="Slicer_Product_Category2">#N/A</definedName>
    <definedName name="Slicer_Product_Name">#N/A</definedName>
    <definedName name="Slicer_Region">#N/A</definedName>
    <definedName name="Slicer_Region1">#N/A</definedName>
    <definedName name="Slicer_Region2">#N/A</definedName>
    <definedName name="Slicer_Sales_Channel">#N/A</definedName>
    <definedName name="Slicer_Sales_Channel1">#N/A</definedName>
    <definedName name="Slicer_Sales_Channel2">#N/A</definedName>
    <definedName name="Slicer_State">#N/A</definedName>
    <definedName name="Slicer_State1">#N/A</definedName>
    <definedName name="Slicer_State2">#N/A</definedName>
    <definedName name="Slicer_Years__Order_Date">#N/A</definedName>
  </definedNames>
  <calcPr calcId="191029"/>
  <pivotCaches>
    <pivotCache cacheId="22"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7" l="1"/>
  <c r="H9" i="7"/>
  <c r="G9" i="7"/>
  <c r="F9" i="7"/>
  <c r="E9" i="7"/>
  <c r="I7" i="7"/>
  <c r="H7" i="7"/>
  <c r="F7" i="7"/>
  <c r="E7" i="7"/>
  <c r="G7" i="7"/>
  <c r="I10" i="3"/>
  <c r="H10" i="3"/>
  <c r="H8" i="3"/>
  <c r="G10" i="3"/>
  <c r="F10" i="3"/>
  <c r="E10" i="3"/>
  <c r="G8" i="3"/>
  <c r="F8" i="3"/>
  <c r="I8" i="3"/>
  <c r="E8" i="3"/>
  <c r="O6" i="5"/>
  <c r="N6" i="5"/>
  <c r="M6" i="5"/>
  <c r="L6" i="5"/>
  <c r="O4" i="5"/>
  <c r="N4" i="5"/>
  <c r="M4" i="5"/>
  <c r="K4" i="5"/>
  <c r="L4" i="5"/>
  <c r="K6" i="5"/>
</calcChain>
</file>

<file path=xl/sharedStrings.xml><?xml version="1.0" encoding="utf-8"?>
<sst xmlns="http://schemas.openxmlformats.org/spreadsheetml/2006/main" count="3369" uniqueCount="134">
  <si>
    <t>Order_ID</t>
  </si>
  <si>
    <t>Order_Date</t>
  </si>
  <si>
    <t>Region</t>
  </si>
  <si>
    <t>State</t>
  </si>
  <si>
    <t>Product_Category</t>
  </si>
  <si>
    <t>Product_Name</t>
  </si>
  <si>
    <t>Sales_Channel</t>
  </si>
  <si>
    <t>Units_Sold</t>
  </si>
  <si>
    <t>Unit_Price</t>
  </si>
  <si>
    <t>Total_Sales</t>
  </si>
  <si>
    <t>Cost_Per_Unit</t>
  </si>
  <si>
    <t>Total_Cost</t>
  </si>
  <si>
    <t>Profit</t>
  </si>
  <si>
    <t>West</t>
  </si>
  <si>
    <t>Gujarat</t>
  </si>
  <si>
    <t>Petroleum</t>
  </si>
  <si>
    <t>Diesel</t>
  </si>
  <si>
    <t>Distributor</t>
  </si>
  <si>
    <t>South</t>
  </si>
  <si>
    <t>Telangana</t>
  </si>
  <si>
    <t>Telecom</t>
  </si>
  <si>
    <t>Jio Fiber</t>
  </si>
  <si>
    <t>Online</t>
  </si>
  <si>
    <t>Madhya Pradesh</t>
  </si>
  <si>
    <t>Digital Services</t>
  </si>
  <si>
    <t>OTT Subscription</t>
  </si>
  <si>
    <t>East</t>
  </si>
  <si>
    <t>Bihar</t>
  </si>
  <si>
    <t>Recharge Plan</t>
  </si>
  <si>
    <t>Petrol</t>
  </si>
  <si>
    <t>Retail</t>
  </si>
  <si>
    <t>Electronics</t>
  </si>
  <si>
    <t>Offline Store</t>
  </si>
  <si>
    <t>North</t>
  </si>
  <si>
    <t>Uttar Pradesh</t>
  </si>
  <si>
    <t>Music Subscription</t>
  </si>
  <si>
    <t>Odisha</t>
  </si>
  <si>
    <t>Grocery Pack</t>
  </si>
  <si>
    <t>Karnataka</t>
  </si>
  <si>
    <t>Delhi</t>
  </si>
  <si>
    <t>Fashion Apparel</t>
  </si>
  <si>
    <t>Haryana</t>
  </si>
  <si>
    <t>Goa</t>
  </si>
  <si>
    <t>Rajasthan</t>
  </si>
  <si>
    <t>Jio SIM</t>
  </si>
  <si>
    <t>Jharkhand</t>
  </si>
  <si>
    <t>Punjab</t>
  </si>
  <si>
    <t>Tamil Nadu</t>
  </si>
  <si>
    <t>Cloud Storage</t>
  </si>
  <si>
    <t>LPG Gas</t>
  </si>
  <si>
    <t>Maharashtra</t>
  </si>
  <si>
    <t>West Bengal</t>
  </si>
  <si>
    <t>Case Study 1: Sales Performance Dashboard</t>
  </si>
  <si>
    <t>✅ KPIs (5)</t>
  </si>
  <si>
    <t>1. Total Sales</t>
  </si>
  <si>
    <t>2. Total Profit</t>
  </si>
  <si>
    <t>3. Total Orders</t>
  </si>
  <si>
    <t>4. Total Units Sold</t>
  </si>
  <si>
    <t>5. Profit Margin %</t>
  </si>
  <si>
    <t>📊 Charts (7)</t>
  </si>
  <si>
    <t>1. Monthly Sales Trend (Line Chart)</t>
  </si>
  <si>
    <t>2. Region-wise Sales (Clustered Column Chart)</t>
  </si>
  <si>
    <t>3. Product Category Sales (Bar Chart)</t>
  </si>
  <si>
    <t>4. Sales Channel Contribution (Pie Chart)</t>
  </si>
  <si>
    <t>5. Top 10 Products by Sales (Horizontal Bar Chart)</t>
  </si>
  <si>
    <t>6. Sales vs Profit (Scatter Plot)</t>
  </si>
  <si>
    <t>7. State-wise Sales (Map Chart)</t>
  </si>
  <si>
    <t>🎛 Filters/Slicers</t>
  </si>
  <si>
    <t>Year</t>
  </si>
  <si>
    <t>Product Category</t>
  </si>
  <si>
    <t>Sales Channel</t>
  </si>
  <si>
    <t>Case Study 2: Product Performance Dashboard</t>
  </si>
  <si>
    <t>1. Total Products</t>
  </si>
  <si>
    <t>2. Highest Selling Product</t>
  </si>
  <si>
    <t>3. Highest Profit Product</t>
  </si>
  <si>
    <t>4. Average Selling Price</t>
  </si>
  <si>
    <t>5. Average Profit per Product</t>
  </si>
  <si>
    <t>1. Product Category Profit (Column Chart)</t>
  </si>
  <si>
    <t>2. Top 10 Products by Profit (Bar Chart)</t>
  </si>
  <si>
    <t>3. Product Sales Trend (Line Chart)</t>
  </si>
  <si>
    <t>4. Product Category Distribution (Doughnut Chart)</t>
  </si>
  <si>
    <t>5. Units Sold by Product (Bar Chart)</t>
  </si>
  <si>
    <t>6. Unit Price vs Profit (Scatter Plot)</t>
  </si>
  <si>
    <t>7. Product Category Hierarchy (Treemap)</t>
  </si>
  <si>
    <t>Product Name</t>
  </si>
  <si>
    <t>Case Study 3: Regional Business Dashboard</t>
  </si>
  <si>
    <t>1. Total Regions</t>
  </si>
  <si>
    <t>2. Best Performing Region</t>
  </si>
  <si>
    <t>3. Total States</t>
  </si>
  <si>
    <t>4. Average Regional Sales</t>
  </si>
  <si>
    <t>5. Average Regional Profit</t>
  </si>
  <si>
    <t>1. Region-wise Sales (Bar Chart)</t>
  </si>
  <si>
    <t>2. Region-wise Profit (Column Chart)</t>
  </si>
  <si>
    <t>3. Monthly Regional Sales Trend (Area Chart)</t>
  </si>
  <si>
    <t>4. State Contribution (Pie Chart)</t>
  </si>
  <si>
    <t>5. Sales Channel by Region (Stacked Column Chart)</t>
  </si>
  <si>
    <t>6. Units Sold vs Profit (Scatter Plot)</t>
  </si>
  <si>
    <t>7. Top 10 States by Sales (Horizontal Bar Chart)</t>
  </si>
  <si>
    <t>Total Sales</t>
  </si>
  <si>
    <t>Total Profit</t>
  </si>
  <si>
    <t>Total Orders</t>
  </si>
  <si>
    <t>Total Units Sold</t>
  </si>
  <si>
    <t>Profit Margin %</t>
  </si>
  <si>
    <t>Row Labels</t>
  </si>
  <si>
    <t>Grand Total</t>
  </si>
  <si>
    <t>Sum of Total_Sales</t>
  </si>
  <si>
    <t>Jan</t>
  </si>
  <si>
    <t>Feb</t>
  </si>
  <si>
    <t>Mar</t>
  </si>
  <si>
    <t>Apr</t>
  </si>
  <si>
    <t>May</t>
  </si>
  <si>
    <t>Jun</t>
  </si>
  <si>
    <t>Jul</t>
  </si>
  <si>
    <t>Aug</t>
  </si>
  <si>
    <t>Sep</t>
  </si>
  <si>
    <t>Oct</t>
  </si>
  <si>
    <t>Nov</t>
  </si>
  <si>
    <t>Dec</t>
  </si>
  <si>
    <t>Sum of Profit</t>
  </si>
  <si>
    <t>Sales</t>
  </si>
  <si>
    <t>Count of Product_Name</t>
  </si>
  <si>
    <t>Count of Units_Sold</t>
  </si>
  <si>
    <t>Sum Of Total Sales</t>
  </si>
  <si>
    <t>Total Products</t>
  </si>
  <si>
    <t>Highest Selling Product</t>
  </si>
  <si>
    <t>Highest Profit Product</t>
  </si>
  <si>
    <t>Average Selling Price</t>
  </si>
  <si>
    <t>Average Profit Per Product</t>
  </si>
  <si>
    <t>Column Labels</t>
  </si>
  <si>
    <t>Total Regions</t>
  </si>
  <si>
    <t>Best Performing Region</t>
  </si>
  <si>
    <t>Total States</t>
  </si>
  <si>
    <t>Average Regional States</t>
  </si>
  <si>
    <t>Average Regional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</si>
</sst>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164" formatCode="yyyy\-mm\-dd"/>
    </dxf>
  </dxfs>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17/10/relationships/person" Target="persons/person.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Dashboard1PivotTables!$B$3</c:f>
              <c:strCache>
                <c:ptCount val="1"/>
                <c:pt idx="0">
                  <c:v>Total</c:v>
                </c:pt>
              </c:strCache>
            </c:strRef>
          </c:tx>
          <c:spPr>
            <a:ln w="28575" cap="rnd">
              <a:solidFill>
                <a:schemeClr val="accent1"/>
              </a:solidFill>
              <a:round/>
            </a:ln>
            <a:effectLst/>
          </c:spPr>
          <c:marker>
            <c:symbol val="none"/>
          </c:marker>
          <c:cat>
            <c:strRef>
              <c:f>Dashboard1PivotTables!$A$4:$A$16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Dashboard1PivotTables!$B$4:$B$16</c:f>
              <c:numCache>
                <c:formatCode>General</c:formatCode>
                <c:ptCount val="12"/>
                <c:pt idx="0">
                  <c:v>35052270</c:v>
                </c:pt>
                <c:pt idx="1">
                  <c:v>25147861</c:v>
                </c:pt>
                <c:pt idx="2">
                  <c:v>26763167</c:v>
                </c:pt>
                <c:pt idx="3">
                  <c:v>30501247</c:v>
                </c:pt>
                <c:pt idx="4">
                  <c:v>30702527</c:v>
                </c:pt>
                <c:pt idx="5">
                  <c:v>42379994</c:v>
                </c:pt>
                <c:pt idx="6">
                  <c:v>28283255</c:v>
                </c:pt>
                <c:pt idx="7">
                  <c:v>25250158</c:v>
                </c:pt>
                <c:pt idx="8">
                  <c:v>32895126</c:v>
                </c:pt>
                <c:pt idx="9">
                  <c:v>37917942</c:v>
                </c:pt>
                <c:pt idx="10">
                  <c:v>37168257</c:v>
                </c:pt>
                <c:pt idx="11">
                  <c:v>42717896</c:v>
                </c:pt>
              </c:numCache>
            </c:numRef>
          </c:val>
          <c:smooth val="0"/>
          <c:extLst>
            <c:ext xmlns:c16="http://schemas.microsoft.com/office/drawing/2014/chart" uri="{C3380CC4-5D6E-409C-BE32-E72D297353CC}">
              <c16:uniqueId val="{00000000-F2F2-4571-891E-46C0D6CB7C88}"/>
            </c:ext>
          </c:extLst>
        </c:ser>
        <c:dLbls>
          <c:showLegendKey val="0"/>
          <c:showVal val="0"/>
          <c:showCatName val="0"/>
          <c:showSerName val="0"/>
          <c:showPercent val="0"/>
          <c:showBubbleSize val="0"/>
        </c:dLbls>
        <c:smooth val="0"/>
        <c:axId val="1901457663"/>
        <c:axId val="1854002159"/>
      </c:lineChart>
      <c:catAx>
        <c:axId val="190145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02159"/>
        <c:crosses val="autoZero"/>
        <c:auto val="1"/>
        <c:lblAlgn val="ctr"/>
        <c:lblOffset val="100"/>
        <c:noMultiLvlLbl val="0"/>
      </c:catAx>
      <c:valAx>
        <c:axId val="185400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45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Dashboard1PivotTables!$B$22</c:f>
              <c:strCache>
                <c:ptCount val="1"/>
                <c:pt idx="0">
                  <c:v>Total</c:v>
                </c:pt>
              </c:strCache>
            </c:strRef>
          </c:tx>
          <c:spPr>
            <a:solidFill>
              <a:schemeClr val="accent1"/>
            </a:solidFill>
            <a:ln>
              <a:noFill/>
            </a:ln>
            <a:effectLst/>
          </c:spPr>
          <c:invertIfNegative val="0"/>
          <c:cat>
            <c:strRef>
              <c:f>Dashboard1PivotTables!$A$23:$A$27</c:f>
              <c:strCache>
                <c:ptCount val="4"/>
                <c:pt idx="0">
                  <c:v>East</c:v>
                </c:pt>
                <c:pt idx="1">
                  <c:v>North</c:v>
                </c:pt>
                <c:pt idx="2">
                  <c:v>South</c:v>
                </c:pt>
                <c:pt idx="3">
                  <c:v>West</c:v>
                </c:pt>
              </c:strCache>
            </c:strRef>
          </c:cat>
          <c:val>
            <c:numRef>
              <c:f>Dashboard1PivotTables!$B$23:$B$27</c:f>
              <c:numCache>
                <c:formatCode>General</c:formatCode>
                <c:ptCount val="4"/>
                <c:pt idx="0">
                  <c:v>86727449</c:v>
                </c:pt>
                <c:pt idx="1">
                  <c:v>93819346</c:v>
                </c:pt>
                <c:pt idx="2">
                  <c:v>115739696</c:v>
                </c:pt>
                <c:pt idx="3">
                  <c:v>98493209</c:v>
                </c:pt>
              </c:numCache>
            </c:numRef>
          </c:val>
          <c:extLst>
            <c:ext xmlns:c16="http://schemas.microsoft.com/office/drawing/2014/chart" uri="{C3380CC4-5D6E-409C-BE32-E72D297353CC}">
              <c16:uniqueId val="{00000000-7CA8-4A50-A07F-36A2C067B573}"/>
            </c:ext>
          </c:extLst>
        </c:ser>
        <c:dLbls>
          <c:showLegendKey val="0"/>
          <c:showVal val="0"/>
          <c:showCatName val="0"/>
          <c:showSerName val="0"/>
          <c:showPercent val="0"/>
          <c:showBubbleSize val="0"/>
        </c:dLbls>
        <c:gapWidth val="219"/>
        <c:overlap val="-27"/>
        <c:axId val="1920477503"/>
        <c:axId val="1854066959"/>
      </c:barChart>
      <c:catAx>
        <c:axId val="192047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66959"/>
        <c:crosses val="autoZero"/>
        <c:auto val="1"/>
        <c:lblAlgn val="ctr"/>
        <c:lblOffset val="100"/>
        <c:noMultiLvlLbl val="0"/>
      </c:catAx>
      <c:valAx>
        <c:axId val="1854066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47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Dashboard1PivotTables!$B$38</c:f>
              <c:strCache>
                <c:ptCount val="1"/>
                <c:pt idx="0">
                  <c:v>Total</c:v>
                </c:pt>
              </c:strCache>
            </c:strRef>
          </c:tx>
          <c:spPr>
            <a:solidFill>
              <a:schemeClr val="accent1"/>
            </a:solidFill>
            <a:ln>
              <a:noFill/>
            </a:ln>
            <a:effectLst/>
          </c:spPr>
          <c:invertIfNegative val="0"/>
          <c:cat>
            <c:strRef>
              <c:f>Dashboard1PivotTables!$A$39:$A$43</c:f>
              <c:strCache>
                <c:ptCount val="4"/>
                <c:pt idx="0">
                  <c:v>Digital Services</c:v>
                </c:pt>
                <c:pt idx="1">
                  <c:v>Petroleum</c:v>
                </c:pt>
                <c:pt idx="2">
                  <c:v>Retail</c:v>
                </c:pt>
                <c:pt idx="3">
                  <c:v>Telecom</c:v>
                </c:pt>
              </c:strCache>
            </c:strRef>
          </c:cat>
          <c:val>
            <c:numRef>
              <c:f>Dashboard1PivotTables!$B$39:$B$43</c:f>
              <c:numCache>
                <c:formatCode>General</c:formatCode>
                <c:ptCount val="4"/>
                <c:pt idx="0">
                  <c:v>100910280</c:v>
                </c:pt>
                <c:pt idx="1">
                  <c:v>89189657</c:v>
                </c:pt>
                <c:pt idx="2">
                  <c:v>97745668</c:v>
                </c:pt>
                <c:pt idx="3">
                  <c:v>106934095</c:v>
                </c:pt>
              </c:numCache>
            </c:numRef>
          </c:val>
          <c:extLst>
            <c:ext xmlns:c16="http://schemas.microsoft.com/office/drawing/2014/chart" uri="{C3380CC4-5D6E-409C-BE32-E72D297353CC}">
              <c16:uniqueId val="{00000000-CC19-439F-9465-EA85E47A0747}"/>
            </c:ext>
          </c:extLst>
        </c:ser>
        <c:dLbls>
          <c:showLegendKey val="0"/>
          <c:showVal val="0"/>
          <c:showCatName val="0"/>
          <c:showSerName val="0"/>
          <c:showPercent val="0"/>
          <c:showBubbleSize val="0"/>
        </c:dLbls>
        <c:gapWidth val="182"/>
        <c:axId val="1763699503"/>
        <c:axId val="1853969039"/>
      </c:barChart>
      <c:catAx>
        <c:axId val="176369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69039"/>
        <c:crosses val="autoZero"/>
        <c:auto val="1"/>
        <c:lblAlgn val="ctr"/>
        <c:lblOffset val="100"/>
        <c:noMultiLvlLbl val="0"/>
      </c:catAx>
      <c:valAx>
        <c:axId val="185396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69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Channel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Dashboard1PivotTables!$B$51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84-40B6-B4B0-2FDDC0503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84-40B6-B4B0-2FDDC0503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84-40B6-B4B0-2FDDC0503AEE}"/>
              </c:ext>
            </c:extLst>
          </c:dPt>
          <c:cat>
            <c:strRef>
              <c:f>Dashboard1PivotTables!$A$52:$A$55</c:f>
              <c:strCache>
                <c:ptCount val="3"/>
                <c:pt idx="0">
                  <c:v>Distributor</c:v>
                </c:pt>
                <c:pt idx="1">
                  <c:v>Offline Store</c:v>
                </c:pt>
                <c:pt idx="2">
                  <c:v>Online</c:v>
                </c:pt>
              </c:strCache>
            </c:strRef>
          </c:cat>
          <c:val>
            <c:numRef>
              <c:f>Dashboard1PivotTables!$B$52:$B$55</c:f>
              <c:numCache>
                <c:formatCode>General</c:formatCode>
                <c:ptCount val="3"/>
                <c:pt idx="0">
                  <c:v>136593507</c:v>
                </c:pt>
                <c:pt idx="1">
                  <c:v>134104755</c:v>
                </c:pt>
                <c:pt idx="2">
                  <c:v>124081438</c:v>
                </c:pt>
              </c:numCache>
            </c:numRef>
          </c:val>
          <c:extLst>
            <c:ext xmlns:c16="http://schemas.microsoft.com/office/drawing/2014/chart" uri="{C3380CC4-5D6E-409C-BE32-E72D297353CC}">
              <c16:uniqueId val="{00000000-7D2F-49AF-97F7-0C5F9CEAFE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Dashboard1PivotTables!$B$65</c:f>
              <c:strCache>
                <c:ptCount val="1"/>
                <c:pt idx="0">
                  <c:v>Total</c:v>
                </c:pt>
              </c:strCache>
            </c:strRef>
          </c:tx>
          <c:spPr>
            <a:solidFill>
              <a:schemeClr val="accent1"/>
            </a:solidFill>
            <a:ln>
              <a:noFill/>
            </a:ln>
            <a:effectLst/>
          </c:spPr>
          <c:invertIfNegative val="0"/>
          <c:cat>
            <c:strRef>
              <c:f>Dashboard1PivotTables!$A$66:$A$78</c:f>
              <c:strCache>
                <c:ptCount val="12"/>
                <c:pt idx="0">
                  <c:v>Electronics</c:v>
                </c:pt>
                <c:pt idx="1">
                  <c:v>Recharge Plan</c:v>
                </c:pt>
                <c:pt idx="2">
                  <c:v>Cloud Storage</c:v>
                </c:pt>
                <c:pt idx="3">
                  <c:v>Jio Fiber</c:v>
                </c:pt>
                <c:pt idx="4">
                  <c:v>Diesel</c:v>
                </c:pt>
                <c:pt idx="5">
                  <c:v>Music Subscription</c:v>
                </c:pt>
                <c:pt idx="6">
                  <c:v>Jio SIM</c:v>
                </c:pt>
                <c:pt idx="7">
                  <c:v>OTT Subscription</c:v>
                </c:pt>
                <c:pt idx="8">
                  <c:v>Grocery Pack</c:v>
                </c:pt>
                <c:pt idx="9">
                  <c:v>LPG Gas</c:v>
                </c:pt>
                <c:pt idx="10">
                  <c:v>Fashion Apparel</c:v>
                </c:pt>
                <c:pt idx="11">
                  <c:v>Petrol</c:v>
                </c:pt>
              </c:strCache>
            </c:strRef>
          </c:cat>
          <c:val>
            <c:numRef>
              <c:f>Dashboard1PivotTables!$B$66:$B$78</c:f>
              <c:numCache>
                <c:formatCode>General</c:formatCode>
                <c:ptCount val="12"/>
                <c:pt idx="0">
                  <c:v>41757182</c:v>
                </c:pt>
                <c:pt idx="1">
                  <c:v>38159956</c:v>
                </c:pt>
                <c:pt idx="2">
                  <c:v>37321472</c:v>
                </c:pt>
                <c:pt idx="3">
                  <c:v>36852680</c:v>
                </c:pt>
                <c:pt idx="4">
                  <c:v>36745295</c:v>
                </c:pt>
                <c:pt idx="5">
                  <c:v>33480817</c:v>
                </c:pt>
                <c:pt idx="6">
                  <c:v>31921459</c:v>
                </c:pt>
                <c:pt idx="7">
                  <c:v>30107991</c:v>
                </c:pt>
                <c:pt idx="8">
                  <c:v>29881478</c:v>
                </c:pt>
                <c:pt idx="9">
                  <c:v>27182600</c:v>
                </c:pt>
                <c:pt idx="10">
                  <c:v>26107008</c:v>
                </c:pt>
                <c:pt idx="11">
                  <c:v>25261762</c:v>
                </c:pt>
              </c:numCache>
            </c:numRef>
          </c:val>
          <c:extLst>
            <c:ext xmlns:c16="http://schemas.microsoft.com/office/drawing/2014/chart" uri="{C3380CC4-5D6E-409C-BE32-E72D297353CC}">
              <c16:uniqueId val="{00000000-E44A-42D4-A993-97CF6B13C966}"/>
            </c:ext>
          </c:extLst>
        </c:ser>
        <c:dLbls>
          <c:showLegendKey val="0"/>
          <c:showVal val="0"/>
          <c:showCatName val="0"/>
          <c:showSerName val="0"/>
          <c:showPercent val="0"/>
          <c:showBubbleSize val="0"/>
        </c:dLbls>
        <c:gapWidth val="182"/>
        <c:axId val="2037887103"/>
        <c:axId val="1854057839"/>
      </c:barChart>
      <c:catAx>
        <c:axId val="203788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57839"/>
        <c:crosses val="autoZero"/>
        <c:auto val="1"/>
        <c:lblAlgn val="ctr"/>
        <c:lblOffset val="100"/>
        <c:noMultiLvlLbl val="0"/>
      </c:catAx>
      <c:valAx>
        <c:axId val="185405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8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Category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'Dashboard2PivotTables '!$F$22</c:f>
              <c:strCache>
                <c:ptCount val="1"/>
                <c:pt idx="0">
                  <c:v>Total</c:v>
                </c:pt>
              </c:strCache>
            </c:strRef>
          </c:tx>
          <c:spPr>
            <a:solidFill>
              <a:schemeClr val="accent1"/>
            </a:solidFill>
            <a:ln>
              <a:noFill/>
            </a:ln>
            <a:effectLst/>
          </c:spPr>
          <c:invertIfNegative val="0"/>
          <c:cat>
            <c:strRef>
              <c:f>'Dashboard2PivotTables '!$E$23:$E$27</c:f>
              <c:strCache>
                <c:ptCount val="4"/>
                <c:pt idx="0">
                  <c:v>Digital Services</c:v>
                </c:pt>
                <c:pt idx="1">
                  <c:v>Petroleum</c:v>
                </c:pt>
                <c:pt idx="2">
                  <c:v>Retail</c:v>
                </c:pt>
                <c:pt idx="3">
                  <c:v>Telecom</c:v>
                </c:pt>
              </c:strCache>
            </c:strRef>
          </c:cat>
          <c:val>
            <c:numRef>
              <c:f>'Dashboard2PivotTables '!$F$23:$F$27</c:f>
              <c:numCache>
                <c:formatCode>General</c:formatCode>
                <c:ptCount val="4"/>
                <c:pt idx="0">
                  <c:v>50648494</c:v>
                </c:pt>
                <c:pt idx="1">
                  <c:v>45669363</c:v>
                </c:pt>
                <c:pt idx="2">
                  <c:v>51169076</c:v>
                </c:pt>
                <c:pt idx="3">
                  <c:v>52338371</c:v>
                </c:pt>
              </c:numCache>
            </c:numRef>
          </c:val>
          <c:extLst>
            <c:ext xmlns:c16="http://schemas.microsoft.com/office/drawing/2014/chart" uri="{C3380CC4-5D6E-409C-BE32-E72D297353CC}">
              <c16:uniqueId val="{00000000-2AAC-41F7-87A6-EACFDA76564F}"/>
            </c:ext>
          </c:extLst>
        </c:ser>
        <c:dLbls>
          <c:showLegendKey val="0"/>
          <c:showVal val="0"/>
          <c:showCatName val="0"/>
          <c:showSerName val="0"/>
          <c:showPercent val="0"/>
          <c:showBubbleSize val="0"/>
        </c:dLbls>
        <c:gapWidth val="219"/>
        <c:overlap val="-27"/>
        <c:axId val="273186496"/>
        <c:axId val="601658928"/>
      </c:barChart>
      <c:catAx>
        <c:axId val="27318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58928"/>
        <c:crosses val="autoZero"/>
        <c:auto val="1"/>
        <c:lblAlgn val="ctr"/>
        <c:lblOffset val="100"/>
        <c:noMultiLvlLbl val="0"/>
      </c:catAx>
      <c:valAx>
        <c:axId val="60165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8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'Dashboard2PivotTables '!$C$30</c:f>
              <c:strCache>
                <c:ptCount val="1"/>
                <c:pt idx="0">
                  <c:v>Total</c:v>
                </c:pt>
              </c:strCache>
            </c:strRef>
          </c:tx>
          <c:spPr>
            <a:solidFill>
              <a:schemeClr val="accent1"/>
            </a:solidFill>
            <a:ln>
              <a:noFill/>
            </a:ln>
            <a:effectLst/>
          </c:spPr>
          <c:invertIfNegative val="0"/>
          <c:cat>
            <c:strRef>
              <c:f>'Dashboard2PivotTables '!$B$31:$B$43</c:f>
              <c:strCache>
                <c:ptCount val="12"/>
                <c:pt idx="0">
                  <c:v>Electronics</c:v>
                </c:pt>
                <c:pt idx="1">
                  <c:v>Cloud Storage</c:v>
                </c:pt>
                <c:pt idx="2">
                  <c:v>Jio Fiber</c:v>
                </c:pt>
                <c:pt idx="3">
                  <c:v>Recharge Plan</c:v>
                </c:pt>
                <c:pt idx="4">
                  <c:v>Diesel</c:v>
                </c:pt>
                <c:pt idx="5">
                  <c:v>Music Subscription</c:v>
                </c:pt>
                <c:pt idx="6">
                  <c:v>Jio SIM</c:v>
                </c:pt>
                <c:pt idx="7">
                  <c:v>Grocery Pack</c:v>
                </c:pt>
                <c:pt idx="8">
                  <c:v>OTT Subscription</c:v>
                </c:pt>
                <c:pt idx="9">
                  <c:v>Petrol</c:v>
                </c:pt>
                <c:pt idx="10">
                  <c:v>LPG Gas</c:v>
                </c:pt>
                <c:pt idx="11">
                  <c:v>Fashion Apparel</c:v>
                </c:pt>
              </c:strCache>
            </c:strRef>
          </c:cat>
          <c:val>
            <c:numRef>
              <c:f>'Dashboard2PivotTables '!$C$31:$C$43</c:f>
              <c:numCache>
                <c:formatCode>General</c:formatCode>
                <c:ptCount val="12"/>
                <c:pt idx="0">
                  <c:v>22703026</c:v>
                </c:pt>
                <c:pt idx="1">
                  <c:v>18440123</c:v>
                </c:pt>
                <c:pt idx="2">
                  <c:v>17984226</c:v>
                </c:pt>
                <c:pt idx="3">
                  <c:v>17740915</c:v>
                </c:pt>
                <c:pt idx="4">
                  <c:v>17467725</c:v>
                </c:pt>
                <c:pt idx="5">
                  <c:v>17199336</c:v>
                </c:pt>
                <c:pt idx="6">
                  <c:v>16613230</c:v>
                </c:pt>
                <c:pt idx="7">
                  <c:v>15672125</c:v>
                </c:pt>
                <c:pt idx="8">
                  <c:v>15009035</c:v>
                </c:pt>
                <c:pt idx="9">
                  <c:v>14376836</c:v>
                </c:pt>
                <c:pt idx="10">
                  <c:v>13824802</c:v>
                </c:pt>
                <c:pt idx="11">
                  <c:v>12793925</c:v>
                </c:pt>
              </c:numCache>
            </c:numRef>
          </c:val>
          <c:extLst>
            <c:ext xmlns:c16="http://schemas.microsoft.com/office/drawing/2014/chart" uri="{C3380CC4-5D6E-409C-BE32-E72D297353CC}">
              <c16:uniqueId val="{00000000-E574-437D-8C54-B7E006183ED2}"/>
            </c:ext>
          </c:extLst>
        </c:ser>
        <c:dLbls>
          <c:showLegendKey val="0"/>
          <c:showVal val="0"/>
          <c:showCatName val="0"/>
          <c:showSerName val="0"/>
          <c:showPercent val="0"/>
          <c:showBubbleSize val="0"/>
        </c:dLbls>
        <c:gapWidth val="182"/>
        <c:axId val="805600032"/>
        <c:axId val="601748208"/>
      </c:barChart>
      <c:catAx>
        <c:axId val="80560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48208"/>
        <c:crosses val="autoZero"/>
        <c:auto val="1"/>
        <c:lblAlgn val="ctr"/>
        <c:lblOffset val="100"/>
        <c:noMultiLvlLbl val="0"/>
      </c:catAx>
      <c:valAx>
        <c:axId val="601748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0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'Dashboard2PivotTables '!$C$46</c:f>
              <c:strCache>
                <c:ptCount val="1"/>
                <c:pt idx="0">
                  <c:v>Total</c:v>
                </c:pt>
              </c:strCache>
            </c:strRef>
          </c:tx>
          <c:spPr>
            <a:ln w="28575" cap="rnd">
              <a:solidFill>
                <a:schemeClr val="accent1"/>
              </a:solidFill>
              <a:round/>
            </a:ln>
            <a:effectLst/>
          </c:spPr>
          <c:marker>
            <c:symbol val="none"/>
          </c:marker>
          <c:cat>
            <c:strRef>
              <c:f>'Dashboard2PivotTables '!$B$47:$B$59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'Dashboard2PivotTables '!$C$47:$C$59</c:f>
              <c:numCache>
                <c:formatCode>General</c:formatCode>
                <c:ptCount val="12"/>
                <c:pt idx="0">
                  <c:v>15431259</c:v>
                </c:pt>
                <c:pt idx="1">
                  <c:v>11376501</c:v>
                </c:pt>
                <c:pt idx="2">
                  <c:v>11935519</c:v>
                </c:pt>
                <c:pt idx="3">
                  <c:v>14283232</c:v>
                </c:pt>
                <c:pt idx="4">
                  <c:v>16104265</c:v>
                </c:pt>
                <c:pt idx="5">
                  <c:v>21263500</c:v>
                </c:pt>
                <c:pt idx="6">
                  <c:v>15598000</c:v>
                </c:pt>
                <c:pt idx="7">
                  <c:v>13447297</c:v>
                </c:pt>
                <c:pt idx="8">
                  <c:v>17727728</c:v>
                </c:pt>
                <c:pt idx="9">
                  <c:v>19160472</c:v>
                </c:pt>
                <c:pt idx="10">
                  <c:v>21422401</c:v>
                </c:pt>
                <c:pt idx="11">
                  <c:v>22075130</c:v>
                </c:pt>
              </c:numCache>
            </c:numRef>
          </c:val>
          <c:smooth val="0"/>
          <c:extLst>
            <c:ext xmlns:c16="http://schemas.microsoft.com/office/drawing/2014/chart" uri="{C3380CC4-5D6E-409C-BE32-E72D297353CC}">
              <c16:uniqueId val="{00000000-0F3B-418A-983D-DD471CCD385E}"/>
            </c:ext>
          </c:extLst>
        </c:ser>
        <c:dLbls>
          <c:showLegendKey val="0"/>
          <c:showVal val="0"/>
          <c:showCatName val="0"/>
          <c:showSerName val="0"/>
          <c:showPercent val="0"/>
          <c:showBubbleSize val="0"/>
        </c:dLbls>
        <c:smooth val="0"/>
        <c:axId val="856185984"/>
        <c:axId val="816324176"/>
      </c:lineChart>
      <c:catAx>
        <c:axId val="85618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24176"/>
        <c:crosses val="autoZero"/>
        <c:auto val="1"/>
        <c:lblAlgn val="ctr"/>
        <c:lblOffset val="100"/>
        <c:noMultiLvlLbl val="0"/>
      </c:catAx>
      <c:valAx>
        <c:axId val="81632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Category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'Dashboard2PivotTables '!$C$62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'Dashboard2PivotTables '!$B$63:$B$67</c:f>
              <c:strCache>
                <c:ptCount val="4"/>
                <c:pt idx="0">
                  <c:v>Digital Services</c:v>
                </c:pt>
                <c:pt idx="1">
                  <c:v>Petroleum</c:v>
                </c:pt>
                <c:pt idx="2">
                  <c:v>Retail</c:v>
                </c:pt>
                <c:pt idx="3">
                  <c:v>Telecom</c:v>
                </c:pt>
              </c:strCache>
            </c:strRef>
          </c:cat>
          <c:val>
            <c:numRef>
              <c:f>'Dashboard2PivotTables '!$C$63:$C$67</c:f>
              <c:numCache>
                <c:formatCode>General</c:formatCode>
                <c:ptCount val="4"/>
                <c:pt idx="0">
                  <c:v>163</c:v>
                </c:pt>
                <c:pt idx="1">
                  <c:v>140</c:v>
                </c:pt>
                <c:pt idx="2">
                  <c:v>138</c:v>
                </c:pt>
                <c:pt idx="3">
                  <c:v>159</c:v>
                </c:pt>
              </c:numCache>
            </c:numRef>
          </c:val>
          <c:extLst>
            <c:ext xmlns:c16="http://schemas.microsoft.com/office/drawing/2014/chart" uri="{C3380CC4-5D6E-409C-BE32-E72D297353CC}">
              <c16:uniqueId val="{00000000-5500-427E-A0CA-5677A0E703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'Dashboard2PivotTables '!$C$74</c:f>
              <c:strCache>
                <c:ptCount val="1"/>
                <c:pt idx="0">
                  <c:v>Total</c:v>
                </c:pt>
              </c:strCache>
            </c:strRef>
          </c:tx>
          <c:spPr>
            <a:solidFill>
              <a:schemeClr val="accent1"/>
            </a:solidFill>
            <a:ln>
              <a:noFill/>
            </a:ln>
            <a:effectLst/>
          </c:spPr>
          <c:invertIfNegative val="0"/>
          <c:cat>
            <c:strRef>
              <c:f>'Dashboard2PivotTables '!$B$75:$B$87</c:f>
              <c:strCache>
                <c:ptCount val="12"/>
                <c:pt idx="0">
                  <c:v>LPG Gas</c:v>
                </c:pt>
                <c:pt idx="1">
                  <c:v>Grocery Pack</c:v>
                </c:pt>
                <c:pt idx="2">
                  <c:v>Fashion Apparel</c:v>
                </c:pt>
                <c:pt idx="3">
                  <c:v>Jio SIM</c:v>
                </c:pt>
                <c:pt idx="4">
                  <c:v>Petrol</c:v>
                </c:pt>
                <c:pt idx="5">
                  <c:v>Electronics</c:v>
                </c:pt>
                <c:pt idx="6">
                  <c:v>Diesel</c:v>
                </c:pt>
                <c:pt idx="7">
                  <c:v>OTT Subscription</c:v>
                </c:pt>
                <c:pt idx="8">
                  <c:v>Music Subscription</c:v>
                </c:pt>
                <c:pt idx="9">
                  <c:v>Jio Fiber</c:v>
                </c:pt>
                <c:pt idx="10">
                  <c:v>Recharge Plan</c:v>
                </c:pt>
                <c:pt idx="11">
                  <c:v>Cloud Storage</c:v>
                </c:pt>
              </c:strCache>
            </c:strRef>
          </c:cat>
          <c:val>
            <c:numRef>
              <c:f>'Dashboard2PivotTables '!$C$75:$C$87</c:f>
              <c:numCache>
                <c:formatCode>General</c:formatCode>
                <c:ptCount val="12"/>
                <c:pt idx="0">
                  <c:v>41</c:v>
                </c:pt>
                <c:pt idx="1">
                  <c:v>44</c:v>
                </c:pt>
                <c:pt idx="2">
                  <c:v>45</c:v>
                </c:pt>
                <c:pt idx="3">
                  <c:v>49</c:v>
                </c:pt>
                <c:pt idx="4">
                  <c:v>49</c:v>
                </c:pt>
                <c:pt idx="5">
                  <c:v>49</c:v>
                </c:pt>
                <c:pt idx="6">
                  <c:v>50</c:v>
                </c:pt>
                <c:pt idx="7">
                  <c:v>53</c:v>
                </c:pt>
                <c:pt idx="8">
                  <c:v>54</c:v>
                </c:pt>
                <c:pt idx="9">
                  <c:v>55</c:v>
                </c:pt>
                <c:pt idx="10">
                  <c:v>55</c:v>
                </c:pt>
                <c:pt idx="11">
                  <c:v>56</c:v>
                </c:pt>
              </c:numCache>
            </c:numRef>
          </c:val>
          <c:extLst>
            <c:ext xmlns:c16="http://schemas.microsoft.com/office/drawing/2014/chart" uri="{C3380CC4-5D6E-409C-BE32-E72D297353CC}">
              <c16:uniqueId val="{00000000-C849-4B1A-A1F3-B3A00EEA2650}"/>
            </c:ext>
          </c:extLst>
        </c:ser>
        <c:dLbls>
          <c:showLegendKey val="0"/>
          <c:showVal val="0"/>
          <c:showCatName val="0"/>
          <c:showSerName val="0"/>
          <c:showPercent val="0"/>
          <c:showBubbleSize val="0"/>
        </c:dLbls>
        <c:gapWidth val="182"/>
        <c:axId val="856195264"/>
        <c:axId val="816180656"/>
      </c:barChart>
      <c:catAx>
        <c:axId val="85619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80656"/>
        <c:crosses val="autoZero"/>
        <c:auto val="1"/>
        <c:lblAlgn val="ctr"/>
        <c:lblOffset val="100"/>
        <c:noMultiLvlLbl val="0"/>
      </c:catAx>
      <c:valAx>
        <c:axId val="81618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9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Dashboard3PivotTables!$B$18</c:f>
              <c:strCache>
                <c:ptCount val="1"/>
                <c:pt idx="0">
                  <c:v>Total</c:v>
                </c:pt>
              </c:strCache>
            </c:strRef>
          </c:tx>
          <c:spPr>
            <a:solidFill>
              <a:schemeClr val="accent1"/>
            </a:solidFill>
            <a:ln>
              <a:noFill/>
            </a:ln>
            <a:effectLst/>
          </c:spPr>
          <c:invertIfNegative val="0"/>
          <c:cat>
            <c:strRef>
              <c:f>Dashboard3PivotTables!$A$19:$A$23</c:f>
              <c:strCache>
                <c:ptCount val="4"/>
                <c:pt idx="0">
                  <c:v>East</c:v>
                </c:pt>
                <c:pt idx="1">
                  <c:v>North</c:v>
                </c:pt>
                <c:pt idx="2">
                  <c:v>West</c:v>
                </c:pt>
                <c:pt idx="3">
                  <c:v>South</c:v>
                </c:pt>
              </c:strCache>
            </c:strRef>
          </c:cat>
          <c:val>
            <c:numRef>
              <c:f>Dashboard3PivotTables!$B$19:$B$23</c:f>
              <c:numCache>
                <c:formatCode>General</c:formatCode>
                <c:ptCount val="4"/>
                <c:pt idx="0">
                  <c:v>86727449</c:v>
                </c:pt>
                <c:pt idx="1">
                  <c:v>93819346</c:v>
                </c:pt>
                <c:pt idx="2">
                  <c:v>98493209</c:v>
                </c:pt>
                <c:pt idx="3">
                  <c:v>115739696</c:v>
                </c:pt>
              </c:numCache>
            </c:numRef>
          </c:val>
          <c:extLst>
            <c:ext xmlns:c16="http://schemas.microsoft.com/office/drawing/2014/chart" uri="{C3380CC4-5D6E-409C-BE32-E72D297353CC}">
              <c16:uniqueId val="{00000000-F875-4894-A4C6-A10DA6A8BB59}"/>
            </c:ext>
          </c:extLst>
        </c:ser>
        <c:dLbls>
          <c:showLegendKey val="0"/>
          <c:showVal val="0"/>
          <c:showCatName val="0"/>
          <c:showSerName val="0"/>
          <c:showPercent val="0"/>
          <c:showBubbleSize val="0"/>
        </c:dLbls>
        <c:gapWidth val="182"/>
        <c:axId val="527516400"/>
        <c:axId val="816323216"/>
      </c:barChart>
      <c:catAx>
        <c:axId val="52751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23216"/>
        <c:crosses val="autoZero"/>
        <c:auto val="1"/>
        <c:lblAlgn val="ctr"/>
        <c:lblOffset val="100"/>
        <c:noMultiLvlLbl val="0"/>
      </c:catAx>
      <c:valAx>
        <c:axId val="81632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1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Dashboard3PivotTables!$B$28</c:f>
              <c:strCache>
                <c:ptCount val="1"/>
                <c:pt idx="0">
                  <c:v>Total</c:v>
                </c:pt>
              </c:strCache>
            </c:strRef>
          </c:tx>
          <c:spPr>
            <a:solidFill>
              <a:schemeClr val="accent1"/>
            </a:solidFill>
            <a:ln>
              <a:noFill/>
            </a:ln>
            <a:effectLst/>
          </c:spPr>
          <c:invertIfNegative val="0"/>
          <c:cat>
            <c:strRef>
              <c:f>Dashboard3PivotTables!$A$29:$A$33</c:f>
              <c:strCache>
                <c:ptCount val="4"/>
                <c:pt idx="0">
                  <c:v>South</c:v>
                </c:pt>
                <c:pt idx="1">
                  <c:v>West</c:v>
                </c:pt>
                <c:pt idx="2">
                  <c:v>North</c:v>
                </c:pt>
                <c:pt idx="3">
                  <c:v>East</c:v>
                </c:pt>
              </c:strCache>
            </c:strRef>
          </c:cat>
          <c:val>
            <c:numRef>
              <c:f>Dashboard3PivotTables!$B$29:$B$33</c:f>
              <c:numCache>
                <c:formatCode>General</c:formatCode>
                <c:ptCount val="4"/>
                <c:pt idx="0">
                  <c:v>59612123</c:v>
                </c:pt>
                <c:pt idx="1">
                  <c:v>51243436</c:v>
                </c:pt>
                <c:pt idx="2">
                  <c:v>44900695</c:v>
                </c:pt>
                <c:pt idx="3">
                  <c:v>44069050</c:v>
                </c:pt>
              </c:numCache>
            </c:numRef>
          </c:val>
          <c:extLst>
            <c:ext xmlns:c16="http://schemas.microsoft.com/office/drawing/2014/chart" uri="{C3380CC4-5D6E-409C-BE32-E72D297353CC}">
              <c16:uniqueId val="{00000000-BE8C-47EA-89AF-8F3BD449EAB5}"/>
            </c:ext>
          </c:extLst>
        </c:ser>
        <c:dLbls>
          <c:showLegendKey val="0"/>
          <c:showVal val="0"/>
          <c:showCatName val="0"/>
          <c:showSerName val="0"/>
          <c:showPercent val="0"/>
          <c:showBubbleSize val="0"/>
        </c:dLbls>
        <c:gapWidth val="219"/>
        <c:overlap val="-27"/>
        <c:axId val="805589360"/>
        <c:axId val="601691088"/>
      </c:barChart>
      <c:catAx>
        <c:axId val="8055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91088"/>
        <c:crosses val="autoZero"/>
        <c:auto val="1"/>
        <c:lblAlgn val="ctr"/>
        <c:lblOffset val="100"/>
        <c:noMultiLvlLbl val="0"/>
      </c:catAx>
      <c:valAx>
        <c:axId val="60169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8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Regional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Dashboard3PivotTables!$B$41:$B$42</c:f>
              <c:strCache>
                <c:ptCount val="1"/>
                <c:pt idx="0">
                  <c:v>East</c:v>
                </c:pt>
              </c:strCache>
            </c:strRef>
          </c:tx>
          <c:spPr>
            <a:solidFill>
              <a:schemeClr val="accent1"/>
            </a:solidFill>
            <a:ln>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Dashboard3PivotTables!$B$43:$B$55</c:f>
              <c:numCache>
                <c:formatCode>General</c:formatCode>
                <c:ptCount val="12"/>
                <c:pt idx="0">
                  <c:v>11161235</c:v>
                </c:pt>
                <c:pt idx="1">
                  <c:v>8046010</c:v>
                </c:pt>
                <c:pt idx="2">
                  <c:v>2870262</c:v>
                </c:pt>
                <c:pt idx="3">
                  <c:v>2535032</c:v>
                </c:pt>
                <c:pt idx="4">
                  <c:v>8195032</c:v>
                </c:pt>
                <c:pt idx="5">
                  <c:v>5580842</c:v>
                </c:pt>
                <c:pt idx="6">
                  <c:v>5849067</c:v>
                </c:pt>
                <c:pt idx="7">
                  <c:v>6460068</c:v>
                </c:pt>
                <c:pt idx="8">
                  <c:v>6463812</c:v>
                </c:pt>
                <c:pt idx="9">
                  <c:v>10686591</c:v>
                </c:pt>
                <c:pt idx="10">
                  <c:v>10383398</c:v>
                </c:pt>
                <c:pt idx="11">
                  <c:v>8496100</c:v>
                </c:pt>
              </c:numCache>
            </c:numRef>
          </c:val>
          <c:extLst>
            <c:ext xmlns:c16="http://schemas.microsoft.com/office/drawing/2014/chart" uri="{C3380CC4-5D6E-409C-BE32-E72D297353CC}">
              <c16:uniqueId val="{00000000-9E1B-4771-8588-31AD27FB6077}"/>
            </c:ext>
          </c:extLst>
        </c:ser>
        <c:ser>
          <c:idx val="1"/>
          <c:order val="1"/>
          <c:tx>
            <c:strRef>
              <c:f>Dashboard3PivotTables!$C$41:$C$42</c:f>
              <c:strCache>
                <c:ptCount val="1"/>
                <c:pt idx="0">
                  <c:v>North</c:v>
                </c:pt>
              </c:strCache>
            </c:strRef>
          </c:tx>
          <c:spPr>
            <a:solidFill>
              <a:schemeClr val="accent2"/>
            </a:solidFill>
            <a:ln w="25400">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Dashboard3PivotTables!$C$43:$C$55</c:f>
              <c:numCache>
                <c:formatCode>General</c:formatCode>
                <c:ptCount val="12"/>
                <c:pt idx="0">
                  <c:v>3532014</c:v>
                </c:pt>
                <c:pt idx="1">
                  <c:v>6472526</c:v>
                </c:pt>
                <c:pt idx="2">
                  <c:v>9974319</c:v>
                </c:pt>
                <c:pt idx="3">
                  <c:v>8421586</c:v>
                </c:pt>
                <c:pt idx="4">
                  <c:v>9009278</c:v>
                </c:pt>
                <c:pt idx="5">
                  <c:v>4106826</c:v>
                </c:pt>
                <c:pt idx="6">
                  <c:v>9188383</c:v>
                </c:pt>
                <c:pt idx="7">
                  <c:v>4403204</c:v>
                </c:pt>
                <c:pt idx="8">
                  <c:v>7707114</c:v>
                </c:pt>
                <c:pt idx="9">
                  <c:v>11330083</c:v>
                </c:pt>
                <c:pt idx="10">
                  <c:v>9444214</c:v>
                </c:pt>
                <c:pt idx="11">
                  <c:v>10229799</c:v>
                </c:pt>
              </c:numCache>
            </c:numRef>
          </c:val>
          <c:extLst>
            <c:ext xmlns:c16="http://schemas.microsoft.com/office/drawing/2014/chart" uri="{C3380CC4-5D6E-409C-BE32-E72D297353CC}">
              <c16:uniqueId val="{00000005-9E1B-4771-8588-31AD27FB6077}"/>
            </c:ext>
          </c:extLst>
        </c:ser>
        <c:ser>
          <c:idx val="2"/>
          <c:order val="2"/>
          <c:tx>
            <c:strRef>
              <c:f>Dashboard3PivotTables!$D$41:$D$42</c:f>
              <c:strCache>
                <c:ptCount val="1"/>
                <c:pt idx="0">
                  <c:v>South</c:v>
                </c:pt>
              </c:strCache>
            </c:strRef>
          </c:tx>
          <c:spPr>
            <a:solidFill>
              <a:schemeClr val="accent3"/>
            </a:solidFill>
            <a:ln w="25400">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Dashboard3PivotTables!$D$43:$D$55</c:f>
              <c:numCache>
                <c:formatCode>General</c:formatCode>
                <c:ptCount val="12"/>
                <c:pt idx="0">
                  <c:v>11824445</c:v>
                </c:pt>
                <c:pt idx="1">
                  <c:v>6092187</c:v>
                </c:pt>
                <c:pt idx="2">
                  <c:v>4645920</c:v>
                </c:pt>
                <c:pt idx="3">
                  <c:v>10807651</c:v>
                </c:pt>
                <c:pt idx="4">
                  <c:v>5190923</c:v>
                </c:pt>
                <c:pt idx="5">
                  <c:v>22859584</c:v>
                </c:pt>
                <c:pt idx="6">
                  <c:v>5412290</c:v>
                </c:pt>
                <c:pt idx="7">
                  <c:v>6646047</c:v>
                </c:pt>
                <c:pt idx="8">
                  <c:v>8854047</c:v>
                </c:pt>
                <c:pt idx="9">
                  <c:v>7666502</c:v>
                </c:pt>
                <c:pt idx="10">
                  <c:v>8562602</c:v>
                </c:pt>
                <c:pt idx="11">
                  <c:v>17177498</c:v>
                </c:pt>
              </c:numCache>
            </c:numRef>
          </c:val>
          <c:extLst>
            <c:ext xmlns:c16="http://schemas.microsoft.com/office/drawing/2014/chart" uri="{C3380CC4-5D6E-409C-BE32-E72D297353CC}">
              <c16:uniqueId val="{00000006-9E1B-4771-8588-31AD27FB6077}"/>
            </c:ext>
          </c:extLst>
        </c:ser>
        <c:ser>
          <c:idx val="3"/>
          <c:order val="3"/>
          <c:tx>
            <c:strRef>
              <c:f>Dashboard3PivotTables!$E$41:$E$42</c:f>
              <c:strCache>
                <c:ptCount val="1"/>
                <c:pt idx="0">
                  <c:v>West</c:v>
                </c:pt>
              </c:strCache>
            </c:strRef>
          </c:tx>
          <c:spPr>
            <a:solidFill>
              <a:schemeClr val="accent4"/>
            </a:solidFill>
            <a:ln w="25400">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Dashboard3PivotTables!$E$43:$E$55</c:f>
              <c:numCache>
                <c:formatCode>General</c:formatCode>
                <c:ptCount val="12"/>
                <c:pt idx="0">
                  <c:v>8534576</c:v>
                </c:pt>
                <c:pt idx="1">
                  <c:v>4537138</c:v>
                </c:pt>
                <c:pt idx="2">
                  <c:v>9272666</c:v>
                </c:pt>
                <c:pt idx="3">
                  <c:v>8736978</c:v>
                </c:pt>
                <c:pt idx="4">
                  <c:v>8307294</c:v>
                </c:pt>
                <c:pt idx="5">
                  <c:v>9832742</c:v>
                </c:pt>
                <c:pt idx="6">
                  <c:v>7833515</c:v>
                </c:pt>
                <c:pt idx="7">
                  <c:v>7740839</c:v>
                </c:pt>
                <c:pt idx="8">
                  <c:v>9870153</c:v>
                </c:pt>
                <c:pt idx="9">
                  <c:v>8234766</c:v>
                </c:pt>
                <c:pt idx="10">
                  <c:v>8778043</c:v>
                </c:pt>
                <c:pt idx="11">
                  <c:v>6814499</c:v>
                </c:pt>
              </c:numCache>
            </c:numRef>
          </c:val>
          <c:extLst>
            <c:ext xmlns:c16="http://schemas.microsoft.com/office/drawing/2014/chart" uri="{C3380CC4-5D6E-409C-BE32-E72D297353CC}">
              <c16:uniqueId val="{00000007-9E1B-4771-8588-31AD27FB6077}"/>
            </c:ext>
          </c:extLst>
        </c:ser>
        <c:dLbls>
          <c:showLegendKey val="0"/>
          <c:showVal val="0"/>
          <c:showCatName val="0"/>
          <c:showSerName val="0"/>
          <c:showPercent val="0"/>
          <c:showBubbleSize val="0"/>
        </c:dLbls>
        <c:axId val="857480176"/>
        <c:axId val="2132837904"/>
      </c:areaChart>
      <c:catAx>
        <c:axId val="85748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837904"/>
        <c:crosses val="autoZero"/>
        <c:auto val="1"/>
        <c:lblAlgn val="ctr"/>
        <c:lblOffset val="100"/>
        <c:noMultiLvlLbl val="0"/>
      </c:catAx>
      <c:valAx>
        <c:axId val="213283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80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State Contribution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Dashboard3PivotTables!$B$59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cat>
            <c:strRef>
              <c:f>Dashboard3PivotTables!$A$60:$A$76</c:f>
              <c:strCache>
                <c:ptCount val="16"/>
                <c:pt idx="0">
                  <c:v>Bihar</c:v>
                </c:pt>
                <c:pt idx="1">
                  <c:v>Delhi</c:v>
                </c:pt>
                <c:pt idx="2">
                  <c:v>Goa</c:v>
                </c:pt>
                <c:pt idx="3">
                  <c:v>Gujarat</c:v>
                </c:pt>
                <c:pt idx="4">
                  <c:v>Haryana</c:v>
                </c:pt>
                <c:pt idx="5">
                  <c:v>Jharkhand</c:v>
                </c:pt>
                <c:pt idx="6">
                  <c:v>Karnataka</c:v>
                </c:pt>
                <c:pt idx="7">
                  <c:v>Madhya Pradesh</c:v>
                </c:pt>
                <c:pt idx="8">
                  <c:v>Maharashtra</c:v>
                </c:pt>
                <c:pt idx="9">
                  <c:v>Odisha</c:v>
                </c:pt>
                <c:pt idx="10">
                  <c:v>Punjab</c:v>
                </c:pt>
                <c:pt idx="11">
                  <c:v>Rajasthan</c:v>
                </c:pt>
                <c:pt idx="12">
                  <c:v>Tamil Nadu</c:v>
                </c:pt>
                <c:pt idx="13">
                  <c:v>Telangana</c:v>
                </c:pt>
                <c:pt idx="14">
                  <c:v>Uttar Pradesh</c:v>
                </c:pt>
                <c:pt idx="15">
                  <c:v>West Bengal</c:v>
                </c:pt>
              </c:strCache>
            </c:strRef>
          </c:cat>
          <c:val>
            <c:numRef>
              <c:f>Dashboard3PivotTables!$B$60:$B$76</c:f>
              <c:numCache>
                <c:formatCode>General</c:formatCode>
                <c:ptCount val="16"/>
                <c:pt idx="0">
                  <c:v>21912982</c:v>
                </c:pt>
                <c:pt idx="1">
                  <c:v>23457885</c:v>
                </c:pt>
                <c:pt idx="2">
                  <c:v>27768865</c:v>
                </c:pt>
                <c:pt idx="3">
                  <c:v>25245887</c:v>
                </c:pt>
                <c:pt idx="4">
                  <c:v>26570548</c:v>
                </c:pt>
                <c:pt idx="5">
                  <c:v>23237365</c:v>
                </c:pt>
                <c:pt idx="6">
                  <c:v>25924077</c:v>
                </c:pt>
                <c:pt idx="7">
                  <c:v>25065619</c:v>
                </c:pt>
                <c:pt idx="8">
                  <c:v>31692839</c:v>
                </c:pt>
                <c:pt idx="9">
                  <c:v>23674367</c:v>
                </c:pt>
                <c:pt idx="10">
                  <c:v>15769520</c:v>
                </c:pt>
                <c:pt idx="11">
                  <c:v>20412838</c:v>
                </c:pt>
                <c:pt idx="12">
                  <c:v>24525028</c:v>
                </c:pt>
                <c:pt idx="13">
                  <c:v>33597752</c:v>
                </c:pt>
                <c:pt idx="14">
                  <c:v>28021393</c:v>
                </c:pt>
                <c:pt idx="15">
                  <c:v>17902735</c:v>
                </c:pt>
              </c:numCache>
            </c:numRef>
          </c:val>
          <c:extLst>
            <c:ext xmlns:c16="http://schemas.microsoft.com/office/drawing/2014/chart" uri="{C3380CC4-5D6E-409C-BE32-E72D297353CC}">
              <c16:uniqueId val="{00000000-F2A3-4B4D-A202-BDA00DA51E4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Channel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Dashboard3PivotTables!$B$80:$B$81</c:f>
              <c:strCache>
                <c:ptCount val="1"/>
                <c:pt idx="0">
                  <c:v>Distributor</c:v>
                </c:pt>
              </c:strCache>
            </c:strRef>
          </c:tx>
          <c:spPr>
            <a:solidFill>
              <a:schemeClr val="accent1"/>
            </a:solidFill>
            <a:ln>
              <a:noFill/>
            </a:ln>
            <a:effectLst/>
          </c:spPr>
          <c:invertIfNegative val="0"/>
          <c:cat>
            <c:strRef>
              <c:f>Dashboard3PivotTables!$A$82:$A$86</c:f>
              <c:strCache>
                <c:ptCount val="4"/>
                <c:pt idx="0">
                  <c:v>East</c:v>
                </c:pt>
                <c:pt idx="1">
                  <c:v>North</c:v>
                </c:pt>
                <c:pt idx="2">
                  <c:v>South</c:v>
                </c:pt>
                <c:pt idx="3">
                  <c:v>West</c:v>
                </c:pt>
              </c:strCache>
            </c:strRef>
          </c:cat>
          <c:val>
            <c:numRef>
              <c:f>Dashboard3PivotTables!$B$82:$B$86</c:f>
              <c:numCache>
                <c:formatCode>General</c:formatCode>
                <c:ptCount val="4"/>
                <c:pt idx="0">
                  <c:v>29491105</c:v>
                </c:pt>
                <c:pt idx="1">
                  <c:v>28942068</c:v>
                </c:pt>
                <c:pt idx="2">
                  <c:v>35617048</c:v>
                </c:pt>
                <c:pt idx="3">
                  <c:v>42543286</c:v>
                </c:pt>
              </c:numCache>
            </c:numRef>
          </c:val>
          <c:extLst>
            <c:ext xmlns:c16="http://schemas.microsoft.com/office/drawing/2014/chart" uri="{C3380CC4-5D6E-409C-BE32-E72D297353CC}">
              <c16:uniqueId val="{00000000-43B9-4D23-909F-1033EB08E540}"/>
            </c:ext>
          </c:extLst>
        </c:ser>
        <c:ser>
          <c:idx val="1"/>
          <c:order val="1"/>
          <c:tx>
            <c:strRef>
              <c:f>Dashboard3PivotTables!$C$80:$C$81</c:f>
              <c:strCache>
                <c:ptCount val="1"/>
                <c:pt idx="0">
                  <c:v>Offline Store</c:v>
                </c:pt>
              </c:strCache>
            </c:strRef>
          </c:tx>
          <c:spPr>
            <a:solidFill>
              <a:schemeClr val="accent2"/>
            </a:solidFill>
            <a:ln>
              <a:noFill/>
            </a:ln>
            <a:effectLst/>
          </c:spPr>
          <c:invertIfNegative val="0"/>
          <c:cat>
            <c:strRef>
              <c:f>Dashboard3PivotTables!$A$82:$A$86</c:f>
              <c:strCache>
                <c:ptCount val="4"/>
                <c:pt idx="0">
                  <c:v>East</c:v>
                </c:pt>
                <c:pt idx="1">
                  <c:v>North</c:v>
                </c:pt>
                <c:pt idx="2">
                  <c:v>South</c:v>
                </c:pt>
                <c:pt idx="3">
                  <c:v>West</c:v>
                </c:pt>
              </c:strCache>
            </c:strRef>
          </c:cat>
          <c:val>
            <c:numRef>
              <c:f>Dashboard3PivotTables!$C$82:$C$86</c:f>
              <c:numCache>
                <c:formatCode>General</c:formatCode>
                <c:ptCount val="4"/>
                <c:pt idx="0">
                  <c:v>25686401</c:v>
                </c:pt>
                <c:pt idx="1">
                  <c:v>32761012</c:v>
                </c:pt>
                <c:pt idx="2">
                  <c:v>46340099</c:v>
                </c:pt>
                <c:pt idx="3">
                  <c:v>29317243</c:v>
                </c:pt>
              </c:numCache>
            </c:numRef>
          </c:val>
          <c:extLst>
            <c:ext xmlns:c16="http://schemas.microsoft.com/office/drawing/2014/chart" uri="{C3380CC4-5D6E-409C-BE32-E72D297353CC}">
              <c16:uniqueId val="{00000001-43B9-4D23-909F-1033EB08E540}"/>
            </c:ext>
          </c:extLst>
        </c:ser>
        <c:ser>
          <c:idx val="2"/>
          <c:order val="2"/>
          <c:tx>
            <c:strRef>
              <c:f>Dashboard3PivotTables!$D$80:$D$81</c:f>
              <c:strCache>
                <c:ptCount val="1"/>
                <c:pt idx="0">
                  <c:v>Online</c:v>
                </c:pt>
              </c:strCache>
            </c:strRef>
          </c:tx>
          <c:spPr>
            <a:solidFill>
              <a:schemeClr val="accent3"/>
            </a:solidFill>
            <a:ln>
              <a:noFill/>
            </a:ln>
            <a:effectLst/>
          </c:spPr>
          <c:invertIfNegative val="0"/>
          <c:cat>
            <c:strRef>
              <c:f>Dashboard3PivotTables!$A$82:$A$86</c:f>
              <c:strCache>
                <c:ptCount val="4"/>
                <c:pt idx="0">
                  <c:v>East</c:v>
                </c:pt>
                <c:pt idx="1">
                  <c:v>North</c:v>
                </c:pt>
                <c:pt idx="2">
                  <c:v>South</c:v>
                </c:pt>
                <c:pt idx="3">
                  <c:v>West</c:v>
                </c:pt>
              </c:strCache>
            </c:strRef>
          </c:cat>
          <c:val>
            <c:numRef>
              <c:f>Dashboard3PivotTables!$D$82:$D$86</c:f>
              <c:numCache>
                <c:formatCode>General</c:formatCode>
                <c:ptCount val="4"/>
                <c:pt idx="0">
                  <c:v>31549943</c:v>
                </c:pt>
                <c:pt idx="1">
                  <c:v>32116266</c:v>
                </c:pt>
                <c:pt idx="2">
                  <c:v>33782549</c:v>
                </c:pt>
                <c:pt idx="3">
                  <c:v>26632680</c:v>
                </c:pt>
              </c:numCache>
            </c:numRef>
          </c:val>
          <c:extLst>
            <c:ext xmlns:c16="http://schemas.microsoft.com/office/drawing/2014/chart" uri="{C3380CC4-5D6E-409C-BE32-E72D297353CC}">
              <c16:uniqueId val="{00000002-43B9-4D23-909F-1033EB08E540}"/>
            </c:ext>
          </c:extLst>
        </c:ser>
        <c:dLbls>
          <c:showLegendKey val="0"/>
          <c:showVal val="0"/>
          <c:showCatName val="0"/>
          <c:showSerName val="0"/>
          <c:showPercent val="0"/>
          <c:showBubbleSize val="0"/>
        </c:dLbls>
        <c:gapWidth val="150"/>
        <c:overlap val="100"/>
        <c:axId val="857496416"/>
        <c:axId val="601676688"/>
      </c:barChart>
      <c:catAx>
        <c:axId val="85749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76688"/>
        <c:crosses val="autoZero"/>
        <c:auto val="1"/>
        <c:lblAlgn val="ctr"/>
        <c:lblOffset val="100"/>
        <c:noMultiLvlLbl val="0"/>
      </c:catAx>
      <c:valAx>
        <c:axId val="60167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9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Dashboard3PivotTables!$B$94</c:f>
              <c:strCache>
                <c:ptCount val="1"/>
                <c:pt idx="0">
                  <c:v>Total</c:v>
                </c:pt>
              </c:strCache>
            </c:strRef>
          </c:tx>
          <c:spPr>
            <a:solidFill>
              <a:schemeClr val="accent1"/>
            </a:solidFill>
            <a:ln>
              <a:noFill/>
            </a:ln>
            <a:effectLst/>
          </c:spPr>
          <c:invertIfNegative val="0"/>
          <c:cat>
            <c:strRef>
              <c:f>Dashboard3PivotTables!$A$95:$A$111</c:f>
              <c:strCache>
                <c:ptCount val="16"/>
                <c:pt idx="0">
                  <c:v>Telangana</c:v>
                </c:pt>
                <c:pt idx="1">
                  <c:v>Maharashtra</c:v>
                </c:pt>
                <c:pt idx="2">
                  <c:v>Uttar Pradesh</c:v>
                </c:pt>
                <c:pt idx="3">
                  <c:v>Goa</c:v>
                </c:pt>
                <c:pt idx="4">
                  <c:v>Haryana</c:v>
                </c:pt>
                <c:pt idx="5">
                  <c:v>Karnataka</c:v>
                </c:pt>
                <c:pt idx="6">
                  <c:v>Gujarat</c:v>
                </c:pt>
                <c:pt idx="7">
                  <c:v>Madhya Pradesh</c:v>
                </c:pt>
                <c:pt idx="8">
                  <c:v>Tamil Nadu</c:v>
                </c:pt>
                <c:pt idx="9">
                  <c:v>Odisha</c:v>
                </c:pt>
                <c:pt idx="10">
                  <c:v>Delhi</c:v>
                </c:pt>
                <c:pt idx="11">
                  <c:v>Jharkhand</c:v>
                </c:pt>
                <c:pt idx="12">
                  <c:v>Bihar</c:v>
                </c:pt>
                <c:pt idx="13">
                  <c:v>Rajasthan</c:v>
                </c:pt>
                <c:pt idx="14">
                  <c:v>West Bengal</c:v>
                </c:pt>
                <c:pt idx="15">
                  <c:v>Punjab</c:v>
                </c:pt>
              </c:strCache>
            </c:strRef>
          </c:cat>
          <c:val>
            <c:numRef>
              <c:f>Dashboard3PivotTables!$B$95:$B$111</c:f>
              <c:numCache>
                <c:formatCode>General</c:formatCode>
                <c:ptCount val="16"/>
                <c:pt idx="0">
                  <c:v>33597752</c:v>
                </c:pt>
                <c:pt idx="1">
                  <c:v>31692839</c:v>
                </c:pt>
                <c:pt idx="2">
                  <c:v>28021393</c:v>
                </c:pt>
                <c:pt idx="3">
                  <c:v>27768865</c:v>
                </c:pt>
                <c:pt idx="4">
                  <c:v>26570548</c:v>
                </c:pt>
                <c:pt idx="5">
                  <c:v>25924077</c:v>
                </c:pt>
                <c:pt idx="6">
                  <c:v>25245887</c:v>
                </c:pt>
                <c:pt idx="7">
                  <c:v>25065619</c:v>
                </c:pt>
                <c:pt idx="8">
                  <c:v>24525028</c:v>
                </c:pt>
                <c:pt idx="9">
                  <c:v>23674367</c:v>
                </c:pt>
                <c:pt idx="10">
                  <c:v>23457885</c:v>
                </c:pt>
                <c:pt idx="11">
                  <c:v>23237365</c:v>
                </c:pt>
                <c:pt idx="12">
                  <c:v>21912982</c:v>
                </c:pt>
                <c:pt idx="13">
                  <c:v>20412838</c:v>
                </c:pt>
                <c:pt idx="14">
                  <c:v>17902735</c:v>
                </c:pt>
                <c:pt idx="15">
                  <c:v>15769520</c:v>
                </c:pt>
              </c:numCache>
            </c:numRef>
          </c:val>
          <c:extLst>
            <c:ext xmlns:c16="http://schemas.microsoft.com/office/drawing/2014/chart" uri="{C3380CC4-5D6E-409C-BE32-E72D297353CC}">
              <c16:uniqueId val="{00000000-5C9C-4347-BF86-0FDCBA49BB02}"/>
            </c:ext>
          </c:extLst>
        </c:ser>
        <c:dLbls>
          <c:showLegendKey val="0"/>
          <c:showVal val="0"/>
          <c:showCatName val="0"/>
          <c:showSerName val="0"/>
          <c:showPercent val="0"/>
          <c:showBubbleSize val="0"/>
        </c:dLbls>
        <c:gapWidth val="182"/>
        <c:axId val="857507088"/>
        <c:axId val="644911088"/>
      </c:barChart>
      <c:catAx>
        <c:axId val="85750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11088"/>
        <c:crosses val="autoZero"/>
        <c:auto val="1"/>
        <c:lblAlgn val="ctr"/>
        <c:lblOffset val="100"/>
        <c:noMultiLvlLbl val="0"/>
      </c:catAx>
      <c:valAx>
        <c:axId val="64491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0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Dashboard1PivotTables!$B$3</c:f>
              <c:strCache>
                <c:ptCount val="1"/>
                <c:pt idx="0">
                  <c:v>Total</c:v>
                </c:pt>
              </c:strCache>
            </c:strRef>
          </c:tx>
          <c:spPr>
            <a:ln w="28575" cap="rnd">
              <a:solidFill>
                <a:schemeClr val="accent1"/>
              </a:solidFill>
              <a:round/>
            </a:ln>
            <a:effectLst/>
          </c:spPr>
          <c:marker>
            <c:symbol val="none"/>
          </c:marker>
          <c:cat>
            <c:strRef>
              <c:f>Dashboard1PivotTables!$A$4:$A$16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Dashboard1PivotTables!$B$4:$B$16</c:f>
              <c:numCache>
                <c:formatCode>General</c:formatCode>
                <c:ptCount val="12"/>
                <c:pt idx="0">
                  <c:v>35052270</c:v>
                </c:pt>
                <c:pt idx="1">
                  <c:v>25147861</c:v>
                </c:pt>
                <c:pt idx="2">
                  <c:v>26763167</c:v>
                </c:pt>
                <c:pt idx="3">
                  <c:v>30501247</c:v>
                </c:pt>
                <c:pt idx="4">
                  <c:v>30702527</c:v>
                </c:pt>
                <c:pt idx="5">
                  <c:v>42379994</c:v>
                </c:pt>
                <c:pt idx="6">
                  <c:v>28283255</c:v>
                </c:pt>
                <c:pt idx="7">
                  <c:v>25250158</c:v>
                </c:pt>
                <c:pt idx="8">
                  <c:v>32895126</c:v>
                </c:pt>
                <c:pt idx="9">
                  <c:v>37917942</c:v>
                </c:pt>
                <c:pt idx="10">
                  <c:v>37168257</c:v>
                </c:pt>
                <c:pt idx="11">
                  <c:v>42717896</c:v>
                </c:pt>
              </c:numCache>
            </c:numRef>
          </c:val>
          <c:smooth val="0"/>
          <c:extLst>
            <c:ext xmlns:c16="http://schemas.microsoft.com/office/drawing/2014/chart" uri="{C3380CC4-5D6E-409C-BE32-E72D297353CC}">
              <c16:uniqueId val="{00000000-FF2D-46A8-8035-8FB2391F7B51}"/>
            </c:ext>
          </c:extLst>
        </c:ser>
        <c:dLbls>
          <c:showLegendKey val="0"/>
          <c:showVal val="0"/>
          <c:showCatName val="0"/>
          <c:showSerName val="0"/>
          <c:showPercent val="0"/>
          <c:showBubbleSize val="0"/>
        </c:dLbls>
        <c:smooth val="0"/>
        <c:axId val="1901457663"/>
        <c:axId val="1854002159"/>
      </c:lineChart>
      <c:catAx>
        <c:axId val="190145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02159"/>
        <c:crosses val="autoZero"/>
        <c:auto val="1"/>
        <c:lblAlgn val="ctr"/>
        <c:lblOffset val="100"/>
        <c:noMultiLvlLbl val="0"/>
      </c:catAx>
      <c:valAx>
        <c:axId val="185400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45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Dashboard1PivotTables!$B$22</c:f>
              <c:strCache>
                <c:ptCount val="1"/>
                <c:pt idx="0">
                  <c:v>Total</c:v>
                </c:pt>
              </c:strCache>
            </c:strRef>
          </c:tx>
          <c:spPr>
            <a:solidFill>
              <a:schemeClr val="accent1"/>
            </a:solidFill>
            <a:ln>
              <a:noFill/>
            </a:ln>
            <a:effectLst/>
          </c:spPr>
          <c:invertIfNegative val="0"/>
          <c:cat>
            <c:strRef>
              <c:f>Dashboard1PivotTables!$A$23:$A$27</c:f>
              <c:strCache>
                <c:ptCount val="4"/>
                <c:pt idx="0">
                  <c:v>East</c:v>
                </c:pt>
                <c:pt idx="1">
                  <c:v>North</c:v>
                </c:pt>
                <c:pt idx="2">
                  <c:v>South</c:v>
                </c:pt>
                <c:pt idx="3">
                  <c:v>West</c:v>
                </c:pt>
              </c:strCache>
            </c:strRef>
          </c:cat>
          <c:val>
            <c:numRef>
              <c:f>Dashboard1PivotTables!$B$23:$B$27</c:f>
              <c:numCache>
                <c:formatCode>General</c:formatCode>
                <c:ptCount val="4"/>
                <c:pt idx="0">
                  <c:v>86727449</c:v>
                </c:pt>
                <c:pt idx="1">
                  <c:v>93819346</c:v>
                </c:pt>
                <c:pt idx="2">
                  <c:v>115739696</c:v>
                </c:pt>
                <c:pt idx="3">
                  <c:v>98493209</c:v>
                </c:pt>
              </c:numCache>
            </c:numRef>
          </c:val>
          <c:extLst>
            <c:ext xmlns:c16="http://schemas.microsoft.com/office/drawing/2014/chart" uri="{C3380CC4-5D6E-409C-BE32-E72D297353CC}">
              <c16:uniqueId val="{00000000-A272-40BB-B77A-E97CE3C42EB6}"/>
            </c:ext>
          </c:extLst>
        </c:ser>
        <c:dLbls>
          <c:showLegendKey val="0"/>
          <c:showVal val="0"/>
          <c:showCatName val="0"/>
          <c:showSerName val="0"/>
          <c:showPercent val="0"/>
          <c:showBubbleSize val="0"/>
        </c:dLbls>
        <c:gapWidth val="219"/>
        <c:overlap val="-27"/>
        <c:axId val="1920477503"/>
        <c:axId val="1854066959"/>
      </c:barChart>
      <c:catAx>
        <c:axId val="192047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66959"/>
        <c:crosses val="autoZero"/>
        <c:auto val="1"/>
        <c:lblAlgn val="ctr"/>
        <c:lblOffset val="100"/>
        <c:noMultiLvlLbl val="0"/>
      </c:catAx>
      <c:valAx>
        <c:axId val="1854066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47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Dashboard1PivotTables!$B$38</c:f>
              <c:strCache>
                <c:ptCount val="1"/>
                <c:pt idx="0">
                  <c:v>Total</c:v>
                </c:pt>
              </c:strCache>
            </c:strRef>
          </c:tx>
          <c:spPr>
            <a:solidFill>
              <a:schemeClr val="accent1"/>
            </a:solidFill>
            <a:ln>
              <a:noFill/>
            </a:ln>
            <a:effectLst/>
          </c:spPr>
          <c:invertIfNegative val="0"/>
          <c:cat>
            <c:strRef>
              <c:f>Dashboard1PivotTables!$A$39:$A$43</c:f>
              <c:strCache>
                <c:ptCount val="4"/>
                <c:pt idx="0">
                  <c:v>Digital Services</c:v>
                </c:pt>
                <c:pt idx="1">
                  <c:v>Petroleum</c:v>
                </c:pt>
                <c:pt idx="2">
                  <c:v>Retail</c:v>
                </c:pt>
                <c:pt idx="3">
                  <c:v>Telecom</c:v>
                </c:pt>
              </c:strCache>
            </c:strRef>
          </c:cat>
          <c:val>
            <c:numRef>
              <c:f>Dashboard1PivotTables!$B$39:$B$43</c:f>
              <c:numCache>
                <c:formatCode>General</c:formatCode>
                <c:ptCount val="4"/>
                <c:pt idx="0">
                  <c:v>100910280</c:v>
                </c:pt>
                <c:pt idx="1">
                  <c:v>89189657</c:v>
                </c:pt>
                <c:pt idx="2">
                  <c:v>97745668</c:v>
                </c:pt>
                <c:pt idx="3">
                  <c:v>106934095</c:v>
                </c:pt>
              </c:numCache>
            </c:numRef>
          </c:val>
          <c:extLst>
            <c:ext xmlns:c16="http://schemas.microsoft.com/office/drawing/2014/chart" uri="{C3380CC4-5D6E-409C-BE32-E72D297353CC}">
              <c16:uniqueId val="{00000000-4A2D-4900-AC56-F72971EA4A8B}"/>
            </c:ext>
          </c:extLst>
        </c:ser>
        <c:dLbls>
          <c:showLegendKey val="0"/>
          <c:showVal val="0"/>
          <c:showCatName val="0"/>
          <c:showSerName val="0"/>
          <c:showPercent val="0"/>
          <c:showBubbleSize val="0"/>
        </c:dLbls>
        <c:gapWidth val="182"/>
        <c:axId val="1763699503"/>
        <c:axId val="1853969039"/>
      </c:barChart>
      <c:catAx>
        <c:axId val="176369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69039"/>
        <c:crosses val="autoZero"/>
        <c:auto val="1"/>
        <c:lblAlgn val="ctr"/>
        <c:lblOffset val="100"/>
        <c:noMultiLvlLbl val="0"/>
      </c:catAx>
      <c:valAx>
        <c:axId val="185396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69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Channel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Dashboard1PivotTables!$B$51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DE-4290-97EE-D73A785776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DE-4290-97EE-D73A785776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DE-4290-97EE-D73A7857763E}"/>
              </c:ext>
            </c:extLst>
          </c:dPt>
          <c:cat>
            <c:strRef>
              <c:f>Dashboard1PivotTables!$A$52:$A$55</c:f>
              <c:strCache>
                <c:ptCount val="3"/>
                <c:pt idx="0">
                  <c:v>Distributor</c:v>
                </c:pt>
                <c:pt idx="1">
                  <c:v>Offline Store</c:v>
                </c:pt>
                <c:pt idx="2">
                  <c:v>Online</c:v>
                </c:pt>
              </c:strCache>
            </c:strRef>
          </c:cat>
          <c:val>
            <c:numRef>
              <c:f>Dashboard1PivotTables!$B$52:$B$55</c:f>
              <c:numCache>
                <c:formatCode>General</c:formatCode>
                <c:ptCount val="3"/>
                <c:pt idx="0">
                  <c:v>136593507</c:v>
                </c:pt>
                <c:pt idx="1">
                  <c:v>134104755</c:v>
                </c:pt>
                <c:pt idx="2">
                  <c:v>124081438</c:v>
                </c:pt>
              </c:numCache>
            </c:numRef>
          </c:val>
          <c:extLst>
            <c:ext xmlns:c16="http://schemas.microsoft.com/office/drawing/2014/chart" uri="{C3380CC4-5D6E-409C-BE32-E72D297353CC}">
              <c16:uniqueId val="{00000006-4FDE-4290-97EE-D73A785776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[RelianceSalesDashboard.xlsx]Dashboard1PivotTables!PivotTable5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Dashboard1PivotTables!$B$65</c:f>
              <c:strCache>
                <c:ptCount val="1"/>
                <c:pt idx="0">
                  <c:v>Total</c:v>
                </c:pt>
              </c:strCache>
            </c:strRef>
          </c:tx>
          <c:spPr>
            <a:solidFill>
              <a:schemeClr val="accent1"/>
            </a:solidFill>
            <a:ln>
              <a:noFill/>
            </a:ln>
            <a:effectLst/>
          </c:spPr>
          <c:invertIfNegative val="0"/>
          <c:cat>
            <c:strRef>
              <c:f>Dashboard1PivotTables!$A$66:$A$78</c:f>
              <c:strCache>
                <c:ptCount val="12"/>
                <c:pt idx="0">
                  <c:v>Electronics</c:v>
                </c:pt>
                <c:pt idx="1">
                  <c:v>Recharge Plan</c:v>
                </c:pt>
                <c:pt idx="2">
                  <c:v>Cloud Storage</c:v>
                </c:pt>
                <c:pt idx="3">
                  <c:v>Jio Fiber</c:v>
                </c:pt>
                <c:pt idx="4">
                  <c:v>Diesel</c:v>
                </c:pt>
                <c:pt idx="5">
                  <c:v>Music Subscription</c:v>
                </c:pt>
                <c:pt idx="6">
                  <c:v>Jio SIM</c:v>
                </c:pt>
                <c:pt idx="7">
                  <c:v>OTT Subscription</c:v>
                </c:pt>
                <c:pt idx="8">
                  <c:v>Grocery Pack</c:v>
                </c:pt>
                <c:pt idx="9">
                  <c:v>LPG Gas</c:v>
                </c:pt>
                <c:pt idx="10">
                  <c:v>Fashion Apparel</c:v>
                </c:pt>
                <c:pt idx="11">
                  <c:v>Petrol</c:v>
                </c:pt>
              </c:strCache>
            </c:strRef>
          </c:cat>
          <c:val>
            <c:numRef>
              <c:f>Dashboard1PivotTables!$B$66:$B$78</c:f>
              <c:numCache>
                <c:formatCode>General</c:formatCode>
                <c:ptCount val="12"/>
                <c:pt idx="0">
                  <c:v>41757182</c:v>
                </c:pt>
                <c:pt idx="1">
                  <c:v>38159956</c:v>
                </c:pt>
                <c:pt idx="2">
                  <c:v>37321472</c:v>
                </c:pt>
                <c:pt idx="3">
                  <c:v>36852680</c:v>
                </c:pt>
                <c:pt idx="4">
                  <c:v>36745295</c:v>
                </c:pt>
                <c:pt idx="5">
                  <c:v>33480817</c:v>
                </c:pt>
                <c:pt idx="6">
                  <c:v>31921459</c:v>
                </c:pt>
                <c:pt idx="7">
                  <c:v>30107991</c:v>
                </c:pt>
                <c:pt idx="8">
                  <c:v>29881478</c:v>
                </c:pt>
                <c:pt idx="9">
                  <c:v>27182600</c:v>
                </c:pt>
                <c:pt idx="10">
                  <c:v>26107008</c:v>
                </c:pt>
                <c:pt idx="11">
                  <c:v>25261762</c:v>
                </c:pt>
              </c:numCache>
            </c:numRef>
          </c:val>
          <c:extLst>
            <c:ext xmlns:c16="http://schemas.microsoft.com/office/drawing/2014/chart" uri="{C3380CC4-5D6E-409C-BE32-E72D297353CC}">
              <c16:uniqueId val="{00000000-2761-4F44-943F-B1DC23275DA7}"/>
            </c:ext>
          </c:extLst>
        </c:ser>
        <c:dLbls>
          <c:showLegendKey val="0"/>
          <c:showVal val="0"/>
          <c:showCatName val="0"/>
          <c:showSerName val="0"/>
          <c:showPercent val="0"/>
          <c:showBubbleSize val="0"/>
        </c:dLbls>
        <c:gapWidth val="182"/>
        <c:axId val="2037887103"/>
        <c:axId val="1854057839"/>
      </c:barChart>
      <c:catAx>
        <c:axId val="203788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57839"/>
        <c:crosses val="autoZero"/>
        <c:auto val="1"/>
        <c:lblAlgn val="ctr"/>
        <c:lblOffset val="100"/>
        <c:noMultiLvlLbl val="0"/>
      </c:catAx>
      <c:valAx>
        <c:axId val="185405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8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Category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'Dashboard2PivotTables '!$F$22</c:f>
              <c:strCache>
                <c:ptCount val="1"/>
                <c:pt idx="0">
                  <c:v>Total</c:v>
                </c:pt>
              </c:strCache>
            </c:strRef>
          </c:tx>
          <c:spPr>
            <a:solidFill>
              <a:schemeClr val="accent1"/>
            </a:solidFill>
            <a:ln>
              <a:noFill/>
            </a:ln>
            <a:effectLst/>
          </c:spPr>
          <c:invertIfNegative val="0"/>
          <c:cat>
            <c:strRef>
              <c:f>'Dashboard2PivotTables '!$E$23:$E$27</c:f>
              <c:strCache>
                <c:ptCount val="4"/>
                <c:pt idx="0">
                  <c:v>Digital Services</c:v>
                </c:pt>
                <c:pt idx="1">
                  <c:v>Petroleum</c:v>
                </c:pt>
                <c:pt idx="2">
                  <c:v>Retail</c:v>
                </c:pt>
                <c:pt idx="3">
                  <c:v>Telecom</c:v>
                </c:pt>
              </c:strCache>
            </c:strRef>
          </c:cat>
          <c:val>
            <c:numRef>
              <c:f>'Dashboard2PivotTables '!$F$23:$F$27</c:f>
              <c:numCache>
                <c:formatCode>General</c:formatCode>
                <c:ptCount val="4"/>
                <c:pt idx="0">
                  <c:v>50648494</c:v>
                </c:pt>
                <c:pt idx="1">
                  <c:v>45669363</c:v>
                </c:pt>
                <c:pt idx="2">
                  <c:v>51169076</c:v>
                </c:pt>
                <c:pt idx="3">
                  <c:v>52338371</c:v>
                </c:pt>
              </c:numCache>
            </c:numRef>
          </c:val>
          <c:extLst>
            <c:ext xmlns:c16="http://schemas.microsoft.com/office/drawing/2014/chart" uri="{C3380CC4-5D6E-409C-BE32-E72D297353CC}">
              <c16:uniqueId val="{00000000-969A-47CF-B53B-266B75C147E8}"/>
            </c:ext>
          </c:extLst>
        </c:ser>
        <c:dLbls>
          <c:showLegendKey val="0"/>
          <c:showVal val="0"/>
          <c:showCatName val="0"/>
          <c:showSerName val="0"/>
          <c:showPercent val="0"/>
          <c:showBubbleSize val="0"/>
        </c:dLbls>
        <c:gapWidth val="219"/>
        <c:overlap val="-27"/>
        <c:axId val="273186496"/>
        <c:axId val="601658928"/>
      </c:barChart>
      <c:catAx>
        <c:axId val="27318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58928"/>
        <c:crosses val="autoZero"/>
        <c:auto val="1"/>
        <c:lblAlgn val="ctr"/>
        <c:lblOffset val="100"/>
        <c:noMultiLvlLbl val="0"/>
      </c:catAx>
      <c:valAx>
        <c:axId val="60165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8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'Dashboard2PivotTables '!$C$46</c:f>
              <c:strCache>
                <c:ptCount val="1"/>
                <c:pt idx="0">
                  <c:v>Total</c:v>
                </c:pt>
              </c:strCache>
            </c:strRef>
          </c:tx>
          <c:spPr>
            <a:ln w="28575" cap="rnd">
              <a:solidFill>
                <a:schemeClr val="accent1"/>
              </a:solidFill>
              <a:round/>
            </a:ln>
            <a:effectLst/>
          </c:spPr>
          <c:marker>
            <c:symbol val="none"/>
          </c:marker>
          <c:cat>
            <c:strRef>
              <c:f>'Dashboard2PivotTables '!$B$47:$B$59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'Dashboard2PivotTables '!$C$47:$C$59</c:f>
              <c:numCache>
                <c:formatCode>General</c:formatCode>
                <c:ptCount val="12"/>
                <c:pt idx="0">
                  <c:v>15431259</c:v>
                </c:pt>
                <c:pt idx="1">
                  <c:v>11376501</c:v>
                </c:pt>
                <c:pt idx="2">
                  <c:v>11935519</c:v>
                </c:pt>
                <c:pt idx="3">
                  <c:v>14283232</c:v>
                </c:pt>
                <c:pt idx="4">
                  <c:v>16104265</c:v>
                </c:pt>
                <c:pt idx="5">
                  <c:v>21263500</c:v>
                </c:pt>
                <c:pt idx="6">
                  <c:v>15598000</c:v>
                </c:pt>
                <c:pt idx="7">
                  <c:v>13447297</c:v>
                </c:pt>
                <c:pt idx="8">
                  <c:v>17727728</c:v>
                </c:pt>
                <c:pt idx="9">
                  <c:v>19160472</c:v>
                </c:pt>
                <c:pt idx="10">
                  <c:v>21422401</c:v>
                </c:pt>
                <c:pt idx="11">
                  <c:v>22075130</c:v>
                </c:pt>
              </c:numCache>
            </c:numRef>
          </c:val>
          <c:smooth val="0"/>
          <c:extLst>
            <c:ext xmlns:c16="http://schemas.microsoft.com/office/drawing/2014/chart" uri="{C3380CC4-5D6E-409C-BE32-E72D297353CC}">
              <c16:uniqueId val="{00000000-CEB6-42E0-AAB0-5BFE3E1B167D}"/>
            </c:ext>
          </c:extLst>
        </c:ser>
        <c:dLbls>
          <c:showLegendKey val="0"/>
          <c:showVal val="0"/>
          <c:showCatName val="0"/>
          <c:showSerName val="0"/>
          <c:showPercent val="0"/>
          <c:showBubbleSize val="0"/>
        </c:dLbls>
        <c:smooth val="0"/>
        <c:axId val="856185984"/>
        <c:axId val="816324176"/>
      </c:lineChart>
      <c:catAx>
        <c:axId val="85618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24176"/>
        <c:crosses val="autoZero"/>
        <c:auto val="1"/>
        <c:lblAlgn val="ctr"/>
        <c:lblOffset val="100"/>
        <c:noMultiLvlLbl val="0"/>
      </c:catAx>
      <c:valAx>
        <c:axId val="81632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Category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'Dashboard2PivotTables '!$C$62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1D-481F-B53A-B1105966EF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1D-481F-B53A-B1105966EF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1D-481F-B53A-B1105966EF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1D-481F-B53A-B1105966EF66}"/>
              </c:ext>
            </c:extLst>
          </c:dPt>
          <c:cat>
            <c:strRef>
              <c:f>'Dashboard2PivotTables '!$B$63:$B$67</c:f>
              <c:strCache>
                <c:ptCount val="4"/>
                <c:pt idx="0">
                  <c:v>Digital Services</c:v>
                </c:pt>
                <c:pt idx="1">
                  <c:v>Petroleum</c:v>
                </c:pt>
                <c:pt idx="2">
                  <c:v>Retail</c:v>
                </c:pt>
                <c:pt idx="3">
                  <c:v>Telecom</c:v>
                </c:pt>
              </c:strCache>
            </c:strRef>
          </c:cat>
          <c:val>
            <c:numRef>
              <c:f>'Dashboard2PivotTables '!$C$63:$C$67</c:f>
              <c:numCache>
                <c:formatCode>General</c:formatCode>
                <c:ptCount val="4"/>
                <c:pt idx="0">
                  <c:v>163</c:v>
                </c:pt>
                <c:pt idx="1">
                  <c:v>140</c:v>
                </c:pt>
                <c:pt idx="2">
                  <c:v>138</c:v>
                </c:pt>
                <c:pt idx="3">
                  <c:v>159</c:v>
                </c:pt>
              </c:numCache>
            </c:numRef>
          </c:val>
          <c:extLst>
            <c:ext xmlns:c16="http://schemas.microsoft.com/office/drawing/2014/chart" uri="{C3380CC4-5D6E-409C-BE32-E72D297353CC}">
              <c16:uniqueId val="{00000008-721D-481F-B53A-B1105966EF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'Dashboard2PivotTables '!$C$74</c:f>
              <c:strCache>
                <c:ptCount val="1"/>
                <c:pt idx="0">
                  <c:v>Total</c:v>
                </c:pt>
              </c:strCache>
            </c:strRef>
          </c:tx>
          <c:spPr>
            <a:solidFill>
              <a:schemeClr val="accent1"/>
            </a:solidFill>
            <a:ln>
              <a:noFill/>
            </a:ln>
            <a:effectLst/>
          </c:spPr>
          <c:invertIfNegative val="0"/>
          <c:cat>
            <c:strRef>
              <c:f>'Dashboard2PivotTables '!$B$75:$B$87</c:f>
              <c:strCache>
                <c:ptCount val="12"/>
                <c:pt idx="0">
                  <c:v>LPG Gas</c:v>
                </c:pt>
                <c:pt idx="1">
                  <c:v>Grocery Pack</c:v>
                </c:pt>
                <c:pt idx="2">
                  <c:v>Fashion Apparel</c:v>
                </c:pt>
                <c:pt idx="3">
                  <c:v>Jio SIM</c:v>
                </c:pt>
                <c:pt idx="4">
                  <c:v>Petrol</c:v>
                </c:pt>
                <c:pt idx="5">
                  <c:v>Electronics</c:v>
                </c:pt>
                <c:pt idx="6">
                  <c:v>Diesel</c:v>
                </c:pt>
                <c:pt idx="7">
                  <c:v>OTT Subscription</c:v>
                </c:pt>
                <c:pt idx="8">
                  <c:v>Music Subscription</c:v>
                </c:pt>
                <c:pt idx="9">
                  <c:v>Jio Fiber</c:v>
                </c:pt>
                <c:pt idx="10">
                  <c:v>Recharge Plan</c:v>
                </c:pt>
                <c:pt idx="11">
                  <c:v>Cloud Storage</c:v>
                </c:pt>
              </c:strCache>
            </c:strRef>
          </c:cat>
          <c:val>
            <c:numRef>
              <c:f>'Dashboard2PivotTables '!$C$75:$C$87</c:f>
              <c:numCache>
                <c:formatCode>General</c:formatCode>
                <c:ptCount val="12"/>
                <c:pt idx="0">
                  <c:v>41</c:v>
                </c:pt>
                <c:pt idx="1">
                  <c:v>44</c:v>
                </c:pt>
                <c:pt idx="2">
                  <c:v>45</c:v>
                </c:pt>
                <c:pt idx="3">
                  <c:v>49</c:v>
                </c:pt>
                <c:pt idx="4">
                  <c:v>49</c:v>
                </c:pt>
                <c:pt idx="5">
                  <c:v>49</c:v>
                </c:pt>
                <c:pt idx="6">
                  <c:v>50</c:v>
                </c:pt>
                <c:pt idx="7">
                  <c:v>53</c:v>
                </c:pt>
                <c:pt idx="8">
                  <c:v>54</c:v>
                </c:pt>
                <c:pt idx="9">
                  <c:v>55</c:v>
                </c:pt>
                <c:pt idx="10">
                  <c:v>55</c:v>
                </c:pt>
                <c:pt idx="11">
                  <c:v>56</c:v>
                </c:pt>
              </c:numCache>
            </c:numRef>
          </c:val>
          <c:extLst>
            <c:ext xmlns:c16="http://schemas.microsoft.com/office/drawing/2014/chart" uri="{C3380CC4-5D6E-409C-BE32-E72D297353CC}">
              <c16:uniqueId val="{00000000-EF71-4E5C-BE24-C9F89AFC089F}"/>
            </c:ext>
          </c:extLst>
        </c:ser>
        <c:dLbls>
          <c:showLegendKey val="0"/>
          <c:showVal val="0"/>
          <c:showCatName val="0"/>
          <c:showSerName val="0"/>
          <c:showPercent val="0"/>
          <c:showBubbleSize val="0"/>
        </c:dLbls>
        <c:gapWidth val="182"/>
        <c:axId val="856195264"/>
        <c:axId val="816180656"/>
      </c:barChart>
      <c:catAx>
        <c:axId val="85619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80656"/>
        <c:crosses val="autoZero"/>
        <c:auto val="1"/>
        <c:lblAlgn val="ctr"/>
        <c:lblOffset val="100"/>
        <c:noMultiLvlLbl val="0"/>
      </c:catAx>
      <c:valAx>
        <c:axId val="81618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9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[RelianceSalesDashboard.xlsx]Dashboard2PivotTables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'Dashboard2PivotTables '!$C$30</c:f>
              <c:strCache>
                <c:ptCount val="1"/>
                <c:pt idx="0">
                  <c:v>Total</c:v>
                </c:pt>
              </c:strCache>
            </c:strRef>
          </c:tx>
          <c:spPr>
            <a:solidFill>
              <a:schemeClr val="accent1"/>
            </a:solidFill>
            <a:ln>
              <a:noFill/>
            </a:ln>
            <a:effectLst/>
          </c:spPr>
          <c:invertIfNegative val="0"/>
          <c:cat>
            <c:strRef>
              <c:f>'Dashboard2PivotTables '!$B$31:$B$43</c:f>
              <c:strCache>
                <c:ptCount val="12"/>
                <c:pt idx="0">
                  <c:v>Electronics</c:v>
                </c:pt>
                <c:pt idx="1">
                  <c:v>Cloud Storage</c:v>
                </c:pt>
                <c:pt idx="2">
                  <c:v>Jio Fiber</c:v>
                </c:pt>
                <c:pt idx="3">
                  <c:v>Recharge Plan</c:v>
                </c:pt>
                <c:pt idx="4">
                  <c:v>Diesel</c:v>
                </c:pt>
                <c:pt idx="5">
                  <c:v>Music Subscription</c:v>
                </c:pt>
                <c:pt idx="6">
                  <c:v>Jio SIM</c:v>
                </c:pt>
                <c:pt idx="7">
                  <c:v>Grocery Pack</c:v>
                </c:pt>
                <c:pt idx="8">
                  <c:v>OTT Subscription</c:v>
                </c:pt>
                <c:pt idx="9">
                  <c:v>Petrol</c:v>
                </c:pt>
                <c:pt idx="10">
                  <c:v>LPG Gas</c:v>
                </c:pt>
                <c:pt idx="11">
                  <c:v>Fashion Apparel</c:v>
                </c:pt>
              </c:strCache>
            </c:strRef>
          </c:cat>
          <c:val>
            <c:numRef>
              <c:f>'Dashboard2PivotTables '!$C$31:$C$43</c:f>
              <c:numCache>
                <c:formatCode>General</c:formatCode>
                <c:ptCount val="12"/>
                <c:pt idx="0">
                  <c:v>22703026</c:v>
                </c:pt>
                <c:pt idx="1">
                  <c:v>18440123</c:v>
                </c:pt>
                <c:pt idx="2">
                  <c:v>17984226</c:v>
                </c:pt>
                <c:pt idx="3">
                  <c:v>17740915</c:v>
                </c:pt>
                <c:pt idx="4">
                  <c:v>17467725</c:v>
                </c:pt>
                <c:pt idx="5">
                  <c:v>17199336</c:v>
                </c:pt>
                <c:pt idx="6">
                  <c:v>16613230</c:v>
                </c:pt>
                <c:pt idx="7">
                  <c:v>15672125</c:v>
                </c:pt>
                <c:pt idx="8">
                  <c:v>15009035</c:v>
                </c:pt>
                <c:pt idx="9">
                  <c:v>14376836</c:v>
                </c:pt>
                <c:pt idx="10">
                  <c:v>13824802</c:v>
                </c:pt>
                <c:pt idx="11">
                  <c:v>12793925</c:v>
                </c:pt>
              </c:numCache>
            </c:numRef>
          </c:val>
          <c:extLst>
            <c:ext xmlns:c16="http://schemas.microsoft.com/office/drawing/2014/chart" uri="{C3380CC4-5D6E-409C-BE32-E72D297353CC}">
              <c16:uniqueId val="{00000000-1015-4CF9-BB75-9ACB47F44B37}"/>
            </c:ext>
          </c:extLst>
        </c:ser>
        <c:dLbls>
          <c:showLegendKey val="0"/>
          <c:showVal val="0"/>
          <c:showCatName val="0"/>
          <c:showSerName val="0"/>
          <c:showPercent val="0"/>
          <c:showBubbleSize val="0"/>
        </c:dLbls>
        <c:gapWidth val="182"/>
        <c:axId val="805600032"/>
        <c:axId val="601748208"/>
      </c:barChart>
      <c:catAx>
        <c:axId val="80560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48208"/>
        <c:crosses val="autoZero"/>
        <c:auto val="1"/>
        <c:lblAlgn val="ctr"/>
        <c:lblOffset val="100"/>
        <c:noMultiLvlLbl val="0"/>
      </c:catAx>
      <c:valAx>
        <c:axId val="601748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0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Dashboard3PivotTables!$B$18</c:f>
              <c:strCache>
                <c:ptCount val="1"/>
                <c:pt idx="0">
                  <c:v>Total</c:v>
                </c:pt>
              </c:strCache>
            </c:strRef>
          </c:tx>
          <c:spPr>
            <a:solidFill>
              <a:schemeClr val="accent1"/>
            </a:solidFill>
            <a:ln>
              <a:noFill/>
            </a:ln>
            <a:effectLst/>
          </c:spPr>
          <c:invertIfNegative val="0"/>
          <c:cat>
            <c:strRef>
              <c:f>Dashboard3PivotTables!$A$19:$A$23</c:f>
              <c:strCache>
                <c:ptCount val="4"/>
                <c:pt idx="0">
                  <c:v>East</c:v>
                </c:pt>
                <c:pt idx="1">
                  <c:v>North</c:v>
                </c:pt>
                <c:pt idx="2">
                  <c:v>West</c:v>
                </c:pt>
                <c:pt idx="3">
                  <c:v>South</c:v>
                </c:pt>
              </c:strCache>
            </c:strRef>
          </c:cat>
          <c:val>
            <c:numRef>
              <c:f>Dashboard3PivotTables!$B$19:$B$23</c:f>
              <c:numCache>
                <c:formatCode>General</c:formatCode>
                <c:ptCount val="4"/>
                <c:pt idx="0">
                  <c:v>86727449</c:v>
                </c:pt>
                <c:pt idx="1">
                  <c:v>93819346</c:v>
                </c:pt>
                <c:pt idx="2">
                  <c:v>98493209</c:v>
                </c:pt>
                <c:pt idx="3">
                  <c:v>115739696</c:v>
                </c:pt>
              </c:numCache>
            </c:numRef>
          </c:val>
          <c:extLst>
            <c:ext xmlns:c16="http://schemas.microsoft.com/office/drawing/2014/chart" uri="{C3380CC4-5D6E-409C-BE32-E72D297353CC}">
              <c16:uniqueId val="{00000000-DE11-41BD-8017-3531FC576DF7}"/>
            </c:ext>
          </c:extLst>
        </c:ser>
        <c:dLbls>
          <c:showLegendKey val="0"/>
          <c:showVal val="0"/>
          <c:showCatName val="0"/>
          <c:showSerName val="0"/>
          <c:showPercent val="0"/>
          <c:showBubbleSize val="0"/>
        </c:dLbls>
        <c:gapWidth val="182"/>
        <c:axId val="527516400"/>
        <c:axId val="816323216"/>
      </c:barChart>
      <c:catAx>
        <c:axId val="52751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23216"/>
        <c:crosses val="autoZero"/>
        <c:auto val="1"/>
        <c:lblAlgn val="ctr"/>
        <c:lblOffset val="100"/>
        <c:noMultiLvlLbl val="0"/>
      </c:catAx>
      <c:valAx>
        <c:axId val="81632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1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Dashboard3PivotTables!$B$28</c:f>
              <c:strCache>
                <c:ptCount val="1"/>
                <c:pt idx="0">
                  <c:v>Total</c:v>
                </c:pt>
              </c:strCache>
            </c:strRef>
          </c:tx>
          <c:spPr>
            <a:solidFill>
              <a:schemeClr val="accent1"/>
            </a:solidFill>
            <a:ln>
              <a:noFill/>
            </a:ln>
            <a:effectLst/>
          </c:spPr>
          <c:invertIfNegative val="0"/>
          <c:cat>
            <c:strRef>
              <c:f>Dashboard3PivotTables!$A$29:$A$33</c:f>
              <c:strCache>
                <c:ptCount val="4"/>
                <c:pt idx="0">
                  <c:v>South</c:v>
                </c:pt>
                <c:pt idx="1">
                  <c:v>West</c:v>
                </c:pt>
                <c:pt idx="2">
                  <c:v>North</c:v>
                </c:pt>
                <c:pt idx="3">
                  <c:v>East</c:v>
                </c:pt>
              </c:strCache>
            </c:strRef>
          </c:cat>
          <c:val>
            <c:numRef>
              <c:f>Dashboard3PivotTables!$B$29:$B$33</c:f>
              <c:numCache>
                <c:formatCode>General</c:formatCode>
                <c:ptCount val="4"/>
                <c:pt idx="0">
                  <c:v>59612123</c:v>
                </c:pt>
                <c:pt idx="1">
                  <c:v>51243436</c:v>
                </c:pt>
                <c:pt idx="2">
                  <c:v>44900695</c:v>
                </c:pt>
                <c:pt idx="3">
                  <c:v>44069050</c:v>
                </c:pt>
              </c:numCache>
            </c:numRef>
          </c:val>
          <c:extLst>
            <c:ext xmlns:c16="http://schemas.microsoft.com/office/drawing/2014/chart" uri="{C3380CC4-5D6E-409C-BE32-E72D297353CC}">
              <c16:uniqueId val="{00000000-E053-401E-9B23-B5DAA9FBE541}"/>
            </c:ext>
          </c:extLst>
        </c:ser>
        <c:dLbls>
          <c:showLegendKey val="0"/>
          <c:showVal val="0"/>
          <c:showCatName val="0"/>
          <c:showSerName val="0"/>
          <c:showPercent val="0"/>
          <c:showBubbleSize val="0"/>
        </c:dLbls>
        <c:gapWidth val="219"/>
        <c:overlap val="-27"/>
        <c:axId val="805589360"/>
        <c:axId val="601691088"/>
      </c:barChart>
      <c:catAx>
        <c:axId val="8055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91088"/>
        <c:crosses val="autoZero"/>
        <c:auto val="1"/>
        <c:lblAlgn val="ctr"/>
        <c:lblOffset val="100"/>
        <c:noMultiLvlLbl val="0"/>
      </c:catAx>
      <c:valAx>
        <c:axId val="60169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8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Regional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Dashboard3PivotTables!$B$41:$B$42</c:f>
              <c:strCache>
                <c:ptCount val="1"/>
                <c:pt idx="0">
                  <c:v>East</c:v>
                </c:pt>
              </c:strCache>
            </c:strRef>
          </c:tx>
          <c:spPr>
            <a:solidFill>
              <a:schemeClr val="accent1"/>
            </a:solidFill>
            <a:ln>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Dashboard3PivotTables!$B$43:$B$55</c:f>
              <c:numCache>
                <c:formatCode>General</c:formatCode>
                <c:ptCount val="12"/>
                <c:pt idx="0">
                  <c:v>11161235</c:v>
                </c:pt>
                <c:pt idx="1">
                  <c:v>8046010</c:v>
                </c:pt>
                <c:pt idx="2">
                  <c:v>2870262</c:v>
                </c:pt>
                <c:pt idx="3">
                  <c:v>2535032</c:v>
                </c:pt>
                <c:pt idx="4">
                  <c:v>8195032</c:v>
                </c:pt>
                <c:pt idx="5">
                  <c:v>5580842</c:v>
                </c:pt>
                <c:pt idx="6">
                  <c:v>5849067</c:v>
                </c:pt>
                <c:pt idx="7">
                  <c:v>6460068</c:v>
                </c:pt>
                <c:pt idx="8">
                  <c:v>6463812</c:v>
                </c:pt>
                <c:pt idx="9">
                  <c:v>10686591</c:v>
                </c:pt>
                <c:pt idx="10">
                  <c:v>10383398</c:v>
                </c:pt>
                <c:pt idx="11">
                  <c:v>8496100</c:v>
                </c:pt>
              </c:numCache>
            </c:numRef>
          </c:val>
          <c:extLst>
            <c:ext xmlns:c16="http://schemas.microsoft.com/office/drawing/2014/chart" uri="{C3380CC4-5D6E-409C-BE32-E72D297353CC}">
              <c16:uniqueId val="{00000000-1DBA-4E2F-8CC9-AE53F0C8A7CB}"/>
            </c:ext>
          </c:extLst>
        </c:ser>
        <c:ser>
          <c:idx val="1"/>
          <c:order val="1"/>
          <c:tx>
            <c:strRef>
              <c:f>Dashboard3PivotTables!$C$41:$C$42</c:f>
              <c:strCache>
                <c:ptCount val="1"/>
                <c:pt idx="0">
                  <c:v>North</c:v>
                </c:pt>
              </c:strCache>
            </c:strRef>
          </c:tx>
          <c:spPr>
            <a:solidFill>
              <a:schemeClr val="accent2"/>
            </a:solidFill>
            <a:ln w="25400">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Dashboard3PivotTables!$C$43:$C$55</c:f>
              <c:numCache>
                <c:formatCode>General</c:formatCode>
                <c:ptCount val="12"/>
                <c:pt idx="0">
                  <c:v>3532014</c:v>
                </c:pt>
                <c:pt idx="1">
                  <c:v>6472526</c:v>
                </c:pt>
                <c:pt idx="2">
                  <c:v>9974319</c:v>
                </c:pt>
                <c:pt idx="3">
                  <c:v>8421586</c:v>
                </c:pt>
                <c:pt idx="4">
                  <c:v>9009278</c:v>
                </c:pt>
                <c:pt idx="5">
                  <c:v>4106826</c:v>
                </c:pt>
                <c:pt idx="6">
                  <c:v>9188383</c:v>
                </c:pt>
                <c:pt idx="7">
                  <c:v>4403204</c:v>
                </c:pt>
                <c:pt idx="8">
                  <c:v>7707114</c:v>
                </c:pt>
                <c:pt idx="9">
                  <c:v>11330083</c:v>
                </c:pt>
                <c:pt idx="10">
                  <c:v>9444214</c:v>
                </c:pt>
                <c:pt idx="11">
                  <c:v>10229799</c:v>
                </c:pt>
              </c:numCache>
            </c:numRef>
          </c:val>
          <c:extLst>
            <c:ext xmlns:c16="http://schemas.microsoft.com/office/drawing/2014/chart" uri="{C3380CC4-5D6E-409C-BE32-E72D297353CC}">
              <c16:uniqueId val="{00000005-1DBA-4E2F-8CC9-AE53F0C8A7CB}"/>
            </c:ext>
          </c:extLst>
        </c:ser>
        <c:ser>
          <c:idx val="2"/>
          <c:order val="2"/>
          <c:tx>
            <c:strRef>
              <c:f>Dashboard3PivotTables!$D$41:$D$42</c:f>
              <c:strCache>
                <c:ptCount val="1"/>
                <c:pt idx="0">
                  <c:v>South</c:v>
                </c:pt>
              </c:strCache>
            </c:strRef>
          </c:tx>
          <c:spPr>
            <a:solidFill>
              <a:schemeClr val="accent3"/>
            </a:solidFill>
            <a:ln w="25400">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Dashboard3PivotTables!$D$43:$D$55</c:f>
              <c:numCache>
                <c:formatCode>General</c:formatCode>
                <c:ptCount val="12"/>
                <c:pt idx="0">
                  <c:v>11824445</c:v>
                </c:pt>
                <c:pt idx="1">
                  <c:v>6092187</c:v>
                </c:pt>
                <c:pt idx="2">
                  <c:v>4645920</c:v>
                </c:pt>
                <c:pt idx="3">
                  <c:v>10807651</c:v>
                </c:pt>
                <c:pt idx="4">
                  <c:v>5190923</c:v>
                </c:pt>
                <c:pt idx="5">
                  <c:v>22859584</c:v>
                </c:pt>
                <c:pt idx="6">
                  <c:v>5412290</c:v>
                </c:pt>
                <c:pt idx="7">
                  <c:v>6646047</c:v>
                </c:pt>
                <c:pt idx="8">
                  <c:v>8854047</c:v>
                </c:pt>
                <c:pt idx="9">
                  <c:v>7666502</c:v>
                </c:pt>
                <c:pt idx="10">
                  <c:v>8562602</c:v>
                </c:pt>
                <c:pt idx="11">
                  <c:v>17177498</c:v>
                </c:pt>
              </c:numCache>
            </c:numRef>
          </c:val>
          <c:extLst>
            <c:ext xmlns:c16="http://schemas.microsoft.com/office/drawing/2014/chart" uri="{C3380CC4-5D6E-409C-BE32-E72D297353CC}">
              <c16:uniqueId val="{00000006-1DBA-4E2F-8CC9-AE53F0C8A7CB}"/>
            </c:ext>
          </c:extLst>
        </c:ser>
        <c:ser>
          <c:idx val="3"/>
          <c:order val="3"/>
          <c:tx>
            <c:strRef>
              <c:f>Dashboard3PivotTables!$E$41:$E$42</c:f>
              <c:strCache>
                <c:ptCount val="1"/>
                <c:pt idx="0">
                  <c:v>West</c:v>
                </c:pt>
              </c:strCache>
            </c:strRef>
          </c:tx>
          <c:spPr>
            <a:solidFill>
              <a:schemeClr val="accent4"/>
            </a:solidFill>
            <a:ln w="25400">
              <a:noFill/>
            </a:ln>
            <a:effectLst/>
          </c:spPr>
          <c:cat>
            <c:strRef>
              <c:f>Dashboard3PivotTables!$A$43:$A$55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Dashboard3PivotTables!$E$43:$E$55</c:f>
              <c:numCache>
                <c:formatCode>General</c:formatCode>
                <c:ptCount val="12"/>
                <c:pt idx="0">
                  <c:v>8534576</c:v>
                </c:pt>
                <c:pt idx="1">
                  <c:v>4537138</c:v>
                </c:pt>
                <c:pt idx="2">
                  <c:v>9272666</c:v>
                </c:pt>
                <c:pt idx="3">
                  <c:v>8736978</c:v>
                </c:pt>
                <c:pt idx="4">
                  <c:v>8307294</c:v>
                </c:pt>
                <c:pt idx="5">
                  <c:v>9832742</c:v>
                </c:pt>
                <c:pt idx="6">
                  <c:v>7833515</c:v>
                </c:pt>
                <c:pt idx="7">
                  <c:v>7740839</c:v>
                </c:pt>
                <c:pt idx="8">
                  <c:v>9870153</c:v>
                </c:pt>
                <c:pt idx="9">
                  <c:v>8234766</c:v>
                </c:pt>
                <c:pt idx="10">
                  <c:v>8778043</c:v>
                </c:pt>
                <c:pt idx="11">
                  <c:v>6814499</c:v>
                </c:pt>
              </c:numCache>
            </c:numRef>
          </c:val>
          <c:extLst>
            <c:ext xmlns:c16="http://schemas.microsoft.com/office/drawing/2014/chart" uri="{C3380CC4-5D6E-409C-BE32-E72D297353CC}">
              <c16:uniqueId val="{00000007-1DBA-4E2F-8CC9-AE53F0C8A7CB}"/>
            </c:ext>
          </c:extLst>
        </c:ser>
        <c:dLbls>
          <c:showLegendKey val="0"/>
          <c:showVal val="0"/>
          <c:showCatName val="0"/>
          <c:showSerName val="0"/>
          <c:showPercent val="0"/>
          <c:showBubbleSize val="0"/>
        </c:dLbls>
        <c:axId val="857480176"/>
        <c:axId val="2132837904"/>
      </c:areaChart>
      <c:catAx>
        <c:axId val="85748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837904"/>
        <c:crosses val="autoZero"/>
        <c:auto val="1"/>
        <c:lblAlgn val="ctr"/>
        <c:lblOffset val="100"/>
        <c:noMultiLvlLbl val="0"/>
      </c:catAx>
      <c:valAx>
        <c:axId val="213283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80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State Contribution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pieChart>
        <c:varyColors val="1"/>
        <c:ser>
          <c:idx val="0"/>
          <c:order val="0"/>
          <c:tx>
            <c:strRef>
              <c:f>Dashboard3PivotTables!$B$59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5F-4BB5-869A-0BB9F04120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5F-4BB5-869A-0BB9F04120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5F-4BB5-869A-0BB9F04120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5F-4BB5-869A-0BB9F04120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5F-4BB5-869A-0BB9F041200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5F-4BB5-869A-0BB9F041200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5F-4BB5-869A-0BB9F041200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5F-4BB5-869A-0BB9F041200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15F-4BB5-869A-0BB9F041200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15F-4BB5-869A-0BB9F041200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15F-4BB5-869A-0BB9F041200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15F-4BB5-869A-0BB9F041200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15F-4BB5-869A-0BB9F041200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15F-4BB5-869A-0BB9F041200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15F-4BB5-869A-0BB9F041200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15F-4BB5-869A-0BB9F0412007}"/>
              </c:ext>
            </c:extLst>
          </c:dPt>
          <c:cat>
            <c:strRef>
              <c:f>Dashboard3PivotTables!$A$60:$A$76</c:f>
              <c:strCache>
                <c:ptCount val="16"/>
                <c:pt idx="0">
                  <c:v>Bihar</c:v>
                </c:pt>
                <c:pt idx="1">
                  <c:v>Delhi</c:v>
                </c:pt>
                <c:pt idx="2">
                  <c:v>Goa</c:v>
                </c:pt>
                <c:pt idx="3">
                  <c:v>Gujarat</c:v>
                </c:pt>
                <c:pt idx="4">
                  <c:v>Haryana</c:v>
                </c:pt>
                <c:pt idx="5">
                  <c:v>Jharkhand</c:v>
                </c:pt>
                <c:pt idx="6">
                  <c:v>Karnataka</c:v>
                </c:pt>
                <c:pt idx="7">
                  <c:v>Madhya Pradesh</c:v>
                </c:pt>
                <c:pt idx="8">
                  <c:v>Maharashtra</c:v>
                </c:pt>
                <c:pt idx="9">
                  <c:v>Odisha</c:v>
                </c:pt>
                <c:pt idx="10">
                  <c:v>Punjab</c:v>
                </c:pt>
                <c:pt idx="11">
                  <c:v>Rajasthan</c:v>
                </c:pt>
                <c:pt idx="12">
                  <c:v>Tamil Nadu</c:v>
                </c:pt>
                <c:pt idx="13">
                  <c:v>Telangana</c:v>
                </c:pt>
                <c:pt idx="14">
                  <c:v>Uttar Pradesh</c:v>
                </c:pt>
                <c:pt idx="15">
                  <c:v>West Bengal</c:v>
                </c:pt>
              </c:strCache>
            </c:strRef>
          </c:cat>
          <c:val>
            <c:numRef>
              <c:f>Dashboard3PivotTables!$B$60:$B$76</c:f>
              <c:numCache>
                <c:formatCode>General</c:formatCode>
                <c:ptCount val="16"/>
                <c:pt idx="0">
                  <c:v>21912982</c:v>
                </c:pt>
                <c:pt idx="1">
                  <c:v>23457885</c:v>
                </c:pt>
                <c:pt idx="2">
                  <c:v>27768865</c:v>
                </c:pt>
                <c:pt idx="3">
                  <c:v>25245887</c:v>
                </c:pt>
                <c:pt idx="4">
                  <c:v>26570548</c:v>
                </c:pt>
                <c:pt idx="5">
                  <c:v>23237365</c:v>
                </c:pt>
                <c:pt idx="6">
                  <c:v>25924077</c:v>
                </c:pt>
                <c:pt idx="7">
                  <c:v>25065619</c:v>
                </c:pt>
                <c:pt idx="8">
                  <c:v>31692839</c:v>
                </c:pt>
                <c:pt idx="9">
                  <c:v>23674367</c:v>
                </c:pt>
                <c:pt idx="10">
                  <c:v>15769520</c:v>
                </c:pt>
                <c:pt idx="11">
                  <c:v>20412838</c:v>
                </c:pt>
                <c:pt idx="12">
                  <c:v>24525028</c:v>
                </c:pt>
                <c:pt idx="13">
                  <c:v>33597752</c:v>
                </c:pt>
                <c:pt idx="14">
                  <c:v>28021393</c:v>
                </c:pt>
                <c:pt idx="15">
                  <c:v>17902735</c:v>
                </c:pt>
              </c:numCache>
            </c:numRef>
          </c:val>
          <c:extLst>
            <c:ext xmlns:c16="http://schemas.microsoft.com/office/drawing/2014/chart" uri="{C3380CC4-5D6E-409C-BE32-E72D297353CC}">
              <c16:uniqueId val="{00000020-515F-4BB5-869A-0BB9F041200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Channel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Dashboard3PivotTables!$B$80:$B$81</c:f>
              <c:strCache>
                <c:ptCount val="1"/>
                <c:pt idx="0">
                  <c:v>Distributor</c:v>
                </c:pt>
              </c:strCache>
            </c:strRef>
          </c:tx>
          <c:spPr>
            <a:solidFill>
              <a:schemeClr val="accent1"/>
            </a:solidFill>
            <a:ln>
              <a:noFill/>
            </a:ln>
            <a:effectLst/>
          </c:spPr>
          <c:invertIfNegative val="0"/>
          <c:cat>
            <c:strRef>
              <c:f>Dashboard3PivotTables!$A$82:$A$86</c:f>
              <c:strCache>
                <c:ptCount val="4"/>
                <c:pt idx="0">
                  <c:v>East</c:v>
                </c:pt>
                <c:pt idx="1">
                  <c:v>North</c:v>
                </c:pt>
                <c:pt idx="2">
                  <c:v>South</c:v>
                </c:pt>
                <c:pt idx="3">
                  <c:v>West</c:v>
                </c:pt>
              </c:strCache>
            </c:strRef>
          </c:cat>
          <c:val>
            <c:numRef>
              <c:f>Dashboard3PivotTables!$B$82:$B$86</c:f>
              <c:numCache>
                <c:formatCode>General</c:formatCode>
                <c:ptCount val="4"/>
                <c:pt idx="0">
                  <c:v>29491105</c:v>
                </c:pt>
                <c:pt idx="1">
                  <c:v>28942068</c:v>
                </c:pt>
                <c:pt idx="2">
                  <c:v>35617048</c:v>
                </c:pt>
                <c:pt idx="3">
                  <c:v>42543286</c:v>
                </c:pt>
              </c:numCache>
            </c:numRef>
          </c:val>
          <c:extLst>
            <c:ext xmlns:c16="http://schemas.microsoft.com/office/drawing/2014/chart" uri="{C3380CC4-5D6E-409C-BE32-E72D297353CC}">
              <c16:uniqueId val="{00000000-7C06-45B5-86A9-73FA8AE48289}"/>
            </c:ext>
          </c:extLst>
        </c:ser>
        <c:ser>
          <c:idx val="1"/>
          <c:order val="1"/>
          <c:tx>
            <c:strRef>
              <c:f>Dashboard3PivotTables!$C$80:$C$81</c:f>
              <c:strCache>
                <c:ptCount val="1"/>
                <c:pt idx="0">
                  <c:v>Offline Store</c:v>
                </c:pt>
              </c:strCache>
            </c:strRef>
          </c:tx>
          <c:spPr>
            <a:solidFill>
              <a:schemeClr val="accent2"/>
            </a:solidFill>
            <a:ln>
              <a:noFill/>
            </a:ln>
            <a:effectLst/>
          </c:spPr>
          <c:invertIfNegative val="0"/>
          <c:cat>
            <c:strRef>
              <c:f>Dashboard3PivotTables!$A$82:$A$86</c:f>
              <c:strCache>
                <c:ptCount val="4"/>
                <c:pt idx="0">
                  <c:v>East</c:v>
                </c:pt>
                <c:pt idx="1">
                  <c:v>North</c:v>
                </c:pt>
                <c:pt idx="2">
                  <c:v>South</c:v>
                </c:pt>
                <c:pt idx="3">
                  <c:v>West</c:v>
                </c:pt>
              </c:strCache>
            </c:strRef>
          </c:cat>
          <c:val>
            <c:numRef>
              <c:f>Dashboard3PivotTables!$C$82:$C$86</c:f>
              <c:numCache>
                <c:formatCode>General</c:formatCode>
                <c:ptCount val="4"/>
                <c:pt idx="0">
                  <c:v>25686401</c:v>
                </c:pt>
                <c:pt idx="1">
                  <c:v>32761012</c:v>
                </c:pt>
                <c:pt idx="2">
                  <c:v>46340099</c:v>
                </c:pt>
                <c:pt idx="3">
                  <c:v>29317243</c:v>
                </c:pt>
              </c:numCache>
            </c:numRef>
          </c:val>
          <c:extLst>
            <c:ext xmlns:c16="http://schemas.microsoft.com/office/drawing/2014/chart" uri="{C3380CC4-5D6E-409C-BE32-E72D297353CC}">
              <c16:uniqueId val="{00000001-7C06-45B5-86A9-73FA8AE48289}"/>
            </c:ext>
          </c:extLst>
        </c:ser>
        <c:ser>
          <c:idx val="2"/>
          <c:order val="2"/>
          <c:tx>
            <c:strRef>
              <c:f>Dashboard3PivotTables!$D$80:$D$81</c:f>
              <c:strCache>
                <c:ptCount val="1"/>
                <c:pt idx="0">
                  <c:v>Online</c:v>
                </c:pt>
              </c:strCache>
            </c:strRef>
          </c:tx>
          <c:spPr>
            <a:solidFill>
              <a:schemeClr val="accent3"/>
            </a:solidFill>
            <a:ln>
              <a:noFill/>
            </a:ln>
            <a:effectLst/>
          </c:spPr>
          <c:invertIfNegative val="0"/>
          <c:cat>
            <c:strRef>
              <c:f>Dashboard3PivotTables!$A$82:$A$86</c:f>
              <c:strCache>
                <c:ptCount val="4"/>
                <c:pt idx="0">
                  <c:v>East</c:v>
                </c:pt>
                <c:pt idx="1">
                  <c:v>North</c:v>
                </c:pt>
                <c:pt idx="2">
                  <c:v>South</c:v>
                </c:pt>
                <c:pt idx="3">
                  <c:v>West</c:v>
                </c:pt>
              </c:strCache>
            </c:strRef>
          </c:cat>
          <c:val>
            <c:numRef>
              <c:f>Dashboard3PivotTables!$D$82:$D$86</c:f>
              <c:numCache>
                <c:formatCode>General</c:formatCode>
                <c:ptCount val="4"/>
                <c:pt idx="0">
                  <c:v>31549943</c:v>
                </c:pt>
                <c:pt idx="1">
                  <c:v>32116266</c:v>
                </c:pt>
                <c:pt idx="2">
                  <c:v>33782549</c:v>
                </c:pt>
                <c:pt idx="3">
                  <c:v>26632680</c:v>
                </c:pt>
              </c:numCache>
            </c:numRef>
          </c:val>
          <c:extLst>
            <c:ext xmlns:c16="http://schemas.microsoft.com/office/drawing/2014/chart" uri="{C3380CC4-5D6E-409C-BE32-E72D297353CC}">
              <c16:uniqueId val="{00000002-7C06-45B5-86A9-73FA8AE48289}"/>
            </c:ext>
          </c:extLst>
        </c:ser>
        <c:dLbls>
          <c:showLegendKey val="0"/>
          <c:showVal val="0"/>
          <c:showCatName val="0"/>
          <c:showSerName val="0"/>
          <c:showPercent val="0"/>
          <c:showBubbleSize val="0"/>
        </c:dLbls>
        <c:gapWidth val="150"/>
        <c:overlap val="100"/>
        <c:axId val="857496416"/>
        <c:axId val="601676688"/>
      </c:barChart>
      <c:catAx>
        <c:axId val="85749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76688"/>
        <c:crosses val="autoZero"/>
        <c:auto val="1"/>
        <c:lblAlgn val="ctr"/>
        <c:lblOffset val="100"/>
        <c:noMultiLvlLbl val="0"/>
      </c:catAx>
      <c:valAx>
        <c:axId val="60167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9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[RelianceSalesDashboard.xlsx]Dashboard3PivotTables!PivotTable18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Dashboard3PivotTables!$B$94</c:f>
              <c:strCache>
                <c:ptCount val="1"/>
                <c:pt idx="0">
                  <c:v>Total</c:v>
                </c:pt>
              </c:strCache>
            </c:strRef>
          </c:tx>
          <c:spPr>
            <a:solidFill>
              <a:schemeClr val="accent1"/>
            </a:solidFill>
            <a:ln>
              <a:noFill/>
            </a:ln>
            <a:effectLst/>
          </c:spPr>
          <c:invertIfNegative val="0"/>
          <c:cat>
            <c:strRef>
              <c:f>Dashboard3PivotTables!$A$95:$A$111</c:f>
              <c:strCache>
                <c:ptCount val="16"/>
                <c:pt idx="0">
                  <c:v>Telangana</c:v>
                </c:pt>
                <c:pt idx="1">
                  <c:v>Maharashtra</c:v>
                </c:pt>
                <c:pt idx="2">
                  <c:v>Uttar Pradesh</c:v>
                </c:pt>
                <c:pt idx="3">
                  <c:v>Goa</c:v>
                </c:pt>
                <c:pt idx="4">
                  <c:v>Haryana</c:v>
                </c:pt>
                <c:pt idx="5">
                  <c:v>Karnataka</c:v>
                </c:pt>
                <c:pt idx="6">
                  <c:v>Gujarat</c:v>
                </c:pt>
                <c:pt idx="7">
                  <c:v>Madhya Pradesh</c:v>
                </c:pt>
                <c:pt idx="8">
                  <c:v>Tamil Nadu</c:v>
                </c:pt>
                <c:pt idx="9">
                  <c:v>Odisha</c:v>
                </c:pt>
                <c:pt idx="10">
                  <c:v>Delhi</c:v>
                </c:pt>
                <c:pt idx="11">
                  <c:v>Jharkhand</c:v>
                </c:pt>
                <c:pt idx="12">
                  <c:v>Bihar</c:v>
                </c:pt>
                <c:pt idx="13">
                  <c:v>Rajasthan</c:v>
                </c:pt>
                <c:pt idx="14">
                  <c:v>West Bengal</c:v>
                </c:pt>
                <c:pt idx="15">
                  <c:v>Punjab</c:v>
                </c:pt>
              </c:strCache>
            </c:strRef>
          </c:cat>
          <c:val>
            <c:numRef>
              <c:f>Dashboard3PivotTables!$B$95:$B$111</c:f>
              <c:numCache>
                <c:formatCode>General</c:formatCode>
                <c:ptCount val="16"/>
                <c:pt idx="0">
                  <c:v>33597752</c:v>
                </c:pt>
                <c:pt idx="1">
                  <c:v>31692839</c:v>
                </c:pt>
                <c:pt idx="2">
                  <c:v>28021393</c:v>
                </c:pt>
                <c:pt idx="3">
                  <c:v>27768865</c:v>
                </c:pt>
                <c:pt idx="4">
                  <c:v>26570548</c:v>
                </c:pt>
                <c:pt idx="5">
                  <c:v>25924077</c:v>
                </c:pt>
                <c:pt idx="6">
                  <c:v>25245887</c:v>
                </c:pt>
                <c:pt idx="7">
                  <c:v>25065619</c:v>
                </c:pt>
                <c:pt idx="8">
                  <c:v>24525028</c:v>
                </c:pt>
                <c:pt idx="9">
                  <c:v>23674367</c:v>
                </c:pt>
                <c:pt idx="10">
                  <c:v>23457885</c:v>
                </c:pt>
                <c:pt idx="11">
                  <c:v>23237365</c:v>
                </c:pt>
                <c:pt idx="12">
                  <c:v>21912982</c:v>
                </c:pt>
                <c:pt idx="13">
                  <c:v>20412838</c:v>
                </c:pt>
                <c:pt idx="14">
                  <c:v>17902735</c:v>
                </c:pt>
                <c:pt idx="15">
                  <c:v>15769520</c:v>
                </c:pt>
              </c:numCache>
            </c:numRef>
          </c:val>
          <c:extLst>
            <c:ext xmlns:c16="http://schemas.microsoft.com/office/drawing/2014/chart" uri="{C3380CC4-5D6E-409C-BE32-E72D297353CC}">
              <c16:uniqueId val="{00000000-4125-4575-96E6-371E2434489E}"/>
            </c:ext>
          </c:extLst>
        </c:ser>
        <c:dLbls>
          <c:showLegendKey val="0"/>
          <c:showVal val="0"/>
          <c:showCatName val="0"/>
          <c:showSerName val="0"/>
          <c:showPercent val="0"/>
          <c:showBubbleSize val="0"/>
        </c:dLbls>
        <c:gapWidth val="182"/>
        <c:axId val="857507088"/>
        <c:axId val="644911088"/>
      </c:barChart>
      <c:catAx>
        <c:axId val="85750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11088"/>
        <c:crosses val="autoZero"/>
        <c:auto val="1"/>
        <c:lblAlgn val="ctr"/>
        <c:lblOffset val="100"/>
        <c:noMultiLvlLbl val="0"/>
      </c:catAx>
      <c:valAx>
        <c:axId val="64491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0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data id="1">
      <cx:strDim type="cat">
        <cx:f>_xlchart.v1.4</cx:f>
      </cx:strDim>
      <cx:numDim type="size">
        <cx:f>_xlchart.v1.7</cx:f>
      </cx:numDim>
    </cx:data>
  </cx:chartData>
  <cx:chart>
    <cx:title pos="t" align="ctr" overlay="0">
      <cx:tx>
        <cx:txData>
          <cx:v>Sales Vs Profit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Vs Profit</a:t>
          </a:r>
        </a:p>
      </cx:txPr>
    </cx:title>
    <cx:plotArea>
      <cx:plotAreaRegion>
        <cx:series layoutId="treemap" uniqueId="{00000000-6CA1-46AA-B86A-879F4B8708D5}" formatIdx="0">
          <cx:tx>
            <cx:txData>
              <cx:f>_xlchart.v1.6</cx:f>
              <cx:v>Sales</cx:v>
            </cx:txData>
          </cx:tx>
          <cx:dataLabels pos="inEnd">
            <cx:visibility seriesName="0" categoryName="1" value="0"/>
          </cx:dataLabels>
          <cx:dataId val="0"/>
          <cx:layoutPr>
            <cx:parentLabelLayout val="overlapping"/>
          </cx:layoutPr>
        </cx:series>
        <cx:series layoutId="treemap" hidden="1" uniqueId="{00000001-6CA1-46AA-B86A-879F4B8708D5}" formatIdx="1">
          <cx:tx>
            <cx:txData>
              <cx:f>_xlchart.v1.8</cx:f>
              <cx:v>Profit</cx:v>
            </cx:txData>
          </cx:tx>
          <cx:dataLabels pos="inEnd">
            <cx:visibility seriesName="0" categoryName="1" value="0"/>
          </cx:dataLabels>
          <cx:dataId val="1"/>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State-wise Sales</a:t>
          </a:r>
        </a:p>
      </cx:txPr>
    </cx:title>
    <cx:plotArea>
      <cx:plotAreaRegion>
        <cx:series layoutId="regionMap" uniqueId="{00000000-0649-48B0-B354-EBDF6C3897A2}">
          <cx:tx>
            <cx:txData>
              <cx:f>_xlchart.v5.2</cx:f>
              <cx:v>Sales</cx:v>
            </cx:txData>
          </cx:tx>
          <cx:dataId val="0"/>
          <cx:layoutPr>
            <cx:geography cultureLanguage="en-US" cultureRegion="IN" attribution="Powered by Bing">
              <cx:geoCache provider="{E9337A44-BEBE-4D9F-B70C-5C5E7DAFC167}">
                <cx:binary>1H3Zcty4su2vOPx8qSZmYMfuE3FZVaIkz0O32/3CUNsyCc4ECE5ff7M89FFhS1ZvhO+D68VhVRFM
ZmJlJjIXwH9/WP71ob65No+Wpm7tvz4svz4uxrH/1y+/2A/FTXNtzxr9wXS2+zSefeiaX7pPn/SH
m18+mutZt/kvOEb0lw/FtRlvlsf/828YLb/pnnYfrkfdta/cjVlf31hXj/Y739351aPrj41u99qO
Rn8Y0a+PEw13efzoph31uL5d+5tfH5/85PGjX/yB/uOmj2qQa3Qf4VrMzrhQkiFG4s8f9PhR3bX5
168lfB0rzqnC3+75/LqB6x4U47MQ1x8/mhtr4SE+//v3ZScSw19fP370oXPteFRTDhr79fFl+1Ff
P36kbbf78sWuO4p7+fzz8/1yquD/+bf3B3hi7y+3bOCr56Gv/sME+5u60N/U8QNMIM84JUTFnN9l
AiHOEGJUgI3U5w//dusvlnhQmrst8fUyzxL7pz+VJS6uzXrdwjz5YXBQZ0hJpCg7gYHgZ4TGmMZU
fjGRZ4N/IMfdVvj7Qs8OFz8XItLuB9oAsTPCCSYKyy8TXp3agp7FDHPFMf7yNZjqi/m/4OEBWe62
w+eLPBuk//enwkLqymtzPX5Txg/wS/iMK8yRoPhOv4TOmBIxB+d0p1/6B/LcY4tvD+Lb4+qnsscV
xOmquG4//kCLkDPOOMJKki8qlyfIgGDNOEUE86/Aod9u/QUZ/0iiu21y61LPKlcXP5VVnlyb9nq8
rn6kv6JnAsUU03twws8QpFiQYH01Gjm1yj+S6G6r3LrUs8qTn8t3Pbv+WKzXj16a6483tvimnx/g
wsgZIxIJxr7GbXQCGCHPsJSKE/I1tfJM88/Futs+/vWekZ69/Kmg8+waPNq1LUbzI8GjzijDsSRM
3RlkADyxVATTr6mAF+z/oUz3mefWA/m2+bnc2ouP2hY/0Cw4PmOIxJSCXb58ToAj6RnFklESf7Wa
Z5aHxbnbIt+u84zx4ufKhl+6trz+68d5MRKfSVC3gkTsxAqCndHjypCo/00HbmfCD8txtxW+XedZ
4WXyU7mr19fltR0hAftxhsD8jEnKOKRgX5yVZw8CdlKwjldfw4mHin8k0d0muXWpZ5XXP1dW/Pa6
0fWj59cf3Y8zC0JnMeIojuVpPgzhncYixjET3272JRH+Z0LcbYnb13qmeAvFqZ+ojPX2pr5u8x9a
PkHiDBItzhTyLKHO4lgBONjXOA5f3/ZU/0iUe+zxv0/hmyP9qczx2zhC+fnHp8D8TGECq0bAx+fP
aQosIdBzThj+tqT0UuB/LNXd1vEu9yz028+VAL+7seOj5AYwU3+bvj9kiSLZMaRAAfjz5zSmSHGm
BI4FrOu/5GGeff6hTHdb5+Rizzbvfq5onxqotDx6240P2+YHdgbu9va3i9Env/hvezP47AhMQcWd
SbhQxzopRfLW4va2U/3aQrlfmrsnxdfLTgT//9yPud8if7eu9lC0OXzued1q13z/28+PB20479KT
XsHJU34D9eXHXx8jBED7u5N2HOIkYJ3o9u/f30DC+etjJSAtR4IwRiiHyg+H+vUMruPXx1xCdwHa
ODKG1a7EMQFf3HZmLH59TMRZLARETg7pI4FVF9TubOeOX/EzwWNKlBRYUMQVtOK+PdrLrl7zrv1b
D1///6h1zctOt6P99TGM03/51VHMCCN6nE9MQW7af7h+Dc1L+BH6PzZbsq7Sil8UaK/YCztBXvn3
8/8X4x7vd2tchfXEbb2Iw8iKuki2bV3fFZgvXxp5X/p4/8XwYJXbw5ciqtZ5acWhMIMxr2e+xfnb
fNm6T98XHxo4d6oFvO/t8VWzVdJVGT8ozOz2qkeNipOClAwlMY0bnFAyjNn59292nw3A/LdvZsH2
5Zy3/LBYIkkiY5KbpFu5/PP740N6e+fDxKfjCzXEfalWfnCop88QmmnzZo7LmD9d5dguaSQ2bpJm
HfrX37/hPQ8kYabffqBexv0kjjecaiWWq65wmdtR6wp9+P4NjgPdMWuPCf7tG0i9zfHoCDvMlRXz
FV9Jhnd9ZXHxlFVFiZ8hV7lqN9ihXUUS1xQN53FbTObi+/dHR9XdJcBR1bemdy8aWzG7soPL82nY
SSxTQdCnviLDXCVDPk9N4lYRPe3mHFUHh7tOtkmUS9xAqzUAYPI4c29JUOdrM9VsBhVIzHbEdJ8E
m/UDz3efAT2v0AFSZ7mO7LCuVvwRd2uXZJMrX4SJ7vmGWpaaW2LYoSJa38TArnjaRrpyu7DhPd/Q
RTPrh4KxQz2K6Xc0DzRZsk2EeR7peQZTz2Xf44Edxi7atkO8RJPZ877rRKD4njfAS47kWpfgDTrq
yt3K+UKTYQAo7b+vn3t8G/fA06hpZqXLRdrUdshei6YZ3O9k2FR8NUaFEq8gthB++f2b3TeTPN+D
yzVqO9tHadutgr+0UK8cf2/GMfoUNL7wXI2VsYvnhcl061BzWHMamWTRlTUPWOM44+8AuvCUpbqK
1g6vWdpFcmvOZ4P66VDPK9L7QRdUBd7G8yeEdpmc+0ik4+jweNHyro0PW4vq5dDrcV7CcC08pzF0
05CRpZFpj6vtbWXW4kUruHr7fVvcpyvPa8zVItEMOU6Ko0UfamsEeZrTtRveVUxWywOqumdGiePf
bzm+QuZ9JUUvU1PT9TJqtviFypGpYeES4FcFOR2+y/Qag3J46sSAlyQuF/qeb11/CBvecx9uEp2Q
QPlJpxosMNZ5c6AuEn2g9J7zcJq0a72WMqV2qsAGq1yixMar3gJv4OG5UhEb1ALaV6gZ2ssesXY+
mFJs88sgBR2z5NvmFXglFkULT5Ut9O9CWvty0fmwhsnPPaCJ1RwX3EykPaGjvhg3sqikqJo5DoMY
9yC26HXgIzYirWze00vb4EkmpaPmodh89Dx3eCTuoWzNyzxuZjDxkK292Zc5EeJlE20Tv8rHrKkO
S47X9o+6keRP1+Zz+4Anvy/n4R7w6iXPRLfN4AprWfdXRWQzAZl9pSCtk+Nc0jFpx3KbdrrgfXNe
LVsu9pzOpHszxSN3gQr2ALpmPBKyirK0EZHbEz2LVIqaPDA/0BEpd6kXn84/No2LHvCgUhJvpjts
KJvGA8u2rb7oFRHri9w23ac+onNzQTfZsucLIbh9hoWU5R+ywow9IMo9jo57WJZtyfpu1jTtRWbJ
jm/qpl+WeQjzo9xDcm0IR+tSitRE/ZzmI6J1khOZfwzCMfNw7JDhsixzmub9It8ziG7PbRw1YW6U
HcFxKwgMJG/LKBIqZTWsZHYOyWZLnDarfWCW3YOyY6vg9g2sHlaGFyPTcZ0zfCmpMfFfS48AcQUu
4i5pteubBG+8zz/0zWZxmFmY5z/I3NYwiQxPucwal/QDtk2yOhoFenDm+Y+NbtXguBEHNzB04OuU
7zfeRfsws3tOgmcqbsth2VLr8jHdWlEm3PTlAz7oHkgwD/vQ7CmiBVLVtMS62eERlfts7XDgpPKg
D6ueTiLdbSmGdWMSF+hdm9OHEsn7RPfQjHjf0qXOtzQX6/jMrW0M4XkoUBk4bzw4F6Ube2LWLY2y
Rl3iaan2GZE0DTIr9dBM+on1YwWjjxmmu5kIm9gG6TDZqYdm2eJNTgLMGo242FXETQmvBA3zo9SD
chlHJp4zu6UD0vW5VW2+mxjdzr+vmSNs7ogX1MNrm7Fi21A0p3PEbmDZWU3ndKz6Nh1nwQOfwIMs
mcTUllU2pwSA+1qNXXlAtKvCluPUg+zYQio0b3xOO+hxX0rF3L5c20B3Qz3IorGpM7mVLs1tTZ/o
uhHP+qUOFN1DLATqrKoQGdOhKzO0MwzbnSiWqth/37j3gJZ6oGVZbqtogzJP3+rlqhrz8anLsjoQ
VB5koT4aTciV47lx+WzfkDmW9QtmJC/C5g3xUFshPQ35hBdICd22q3r2flVr+8DEv0c3xAMtK6OK
SplNh6EuUEKsw8mglAsU3QMt6UuKs1JOoPnovcGQ37VqycLMSjzMVv1mosjyr6JTPOCETTxUdB+t
TGZOFmg6qBmKxvg4ug1XzNEctzKfKp76rLYw+lKqYudk5RLOcRmodg+tBWWyA+YEjE7xzaBpfZ7r
PLCyRTy0VrDHSuocBleba9JaKAMrL76E5QbHJsptxSwjEVm9VtOBjdmcLGjCCeqzMSxEEQ+rTdHj
tiOxO7TT1iZzoW9cuaEwrWMPp3YzY98Vszs0VUETTtn7aLI4cHAPp3HGDFmLaDyIIW73dtHX1m02
cHAPpoNVSwmZsDuUXBUJL3WdOINF4OgeTgUpo1xHCkRXDj2z0B55mYm8DmtRYQ+ni6O4pTByuiHY
4ZdsreRsH42RtGFzBntQxcOiGtfnU7rSpjVJRHqW9jMePwQFJ+xhFekMm25pILJmtr5SpUV7W5Xr
IWx0fAonZ7Ke5Ctz6ajIn6jErywlr8KG9pFq17JZ12hMdRE9B/f4fsUisHyHPZwqrRuBWjGm5VzI
vSvY267KujCDIg+nbWUjo6RzaaRHvatL8VTgIQ6b7Eeq1G3/BW3hubeLjA5tvXzUK3qHWfMkSOHI
Q6nUcx5BvF5TGNaOyYZtwZPVkjzM9SIPp1POXFFRM6bAVYn/oCP4gcTqDYVlGsgDqhtqHNdZ59Km
M9u+W8Rfhe6zQLV7IM2kHsSkjUvZatZd0/QgevVQ5/U4yB2LgyN54LZNVcup7qNmTKHbr55Jm6Nn
dZT178LM6kEUj3g0sD8YpmORFQlp5j+E1IEm9TC60U6VWVG51LCJJEgu7+tBvgyT28MonekyawJj
R6V9S936jFH7LGjo2ENoN2dZPpJ8PMRZFO2iMnuqtziwPhB7CEWo78UW4egAe6NfNKt4L81ah7mW
2INoVECebjrQSV20r7q8O8+aIsyTxx46aT+vZIGa+qHbpgsz4yeUhUXQ2ANmv7KRdz2s7XiTP5Xd
krYmC2uzxh4sdT0uhXMgdN/8tk1uV4rfw2aIB8lalabfKjAiLaq/zKJeyY2H+anYw6MbpmpZZz6m
qy3R220dcVo6YvdhgnuIJG22tKVWY2ojoBLgtrpQmfojbGwPkVWtLYPNbNGBachuo5hfU0XCAhsw
fU+dIEzsYahjCMmF5kvCLI32SokpCDhUeaCUdhIjZVN0GPgb0+0lVLFDdEKVh8giLwY6FOuYOglk
jpnYPkEDfxs2uIfJGfrv69pm9oCK/mKuobc/kHIMminArj5VuHEurqIaBpc1e0lc/0HT1QRqxcMl
7JBf40EqezANeclg7MVNoWN70ESzFoQsCMrGmMRPnczLq4EuPFArHjoLS6ca8lmYKGzjyRaXv9W8
CEqwqPKwuShH50oB8heyjuUuphnv9hgyIB3kWqjyANrPDc2gVzOmOe2vo3l6B82H34Kmok/WmgiJ
DSegF+dyth9cpRMisQjKI6Ag5M3FYhJQj15A8GV56br4apmGQIRKD6FlI2IqCmJTWZFnNRAOD1II
HKZxn1/lcgOcSzeNadzXr2hU70pTBCUpVPr4ZFG75qSxKcYM7+YGmR2i5acwc3oAXaGjYGUzWiAY
8Pe5Xa60YG/ChvbwuZgxqySOTLqiek7qTgznbVOGMSOoT6zq2NyqCeg7KbSQtn27dc8FsWFtfyo9
gLoe26pAs0k7oL/UiXUmehJN8fo6TDMePOeIgFekDiw6rR8tZHCLlX8FDe0TnEYIPEXPO5tWPH+9
9P1l3DRh89DnNk2ZrHhZU5Nu01AcpjnH+6huP4TJ7YFTbzSzZqlsqop+V9H1eSMfSjuPOPnPVRX1
WUxzBPXgqRcmLZqJucQIXj4beL8kc4nduguT3wMpq9qlrTpm0lqTP+uCvov66m3Y0B5EF2A81lxk
BvA/2YvJGpSgiYa16mAb6KnHzXHBtCEYBKfoXTNFbUKj/vcwyf0Yugx9ZeLCpgxrOh824laatLIu
qrAgLTyc0iLPpZM1TMkleqUb/FYPYWtxKjyM1poNsGCGobNVvRpj/SIjPKgNRX3OUi3XrBmm1aQk
a3AaSTy+Qvmsg5i+1OdrYjHFbNIwE7N4W5PVDCmhgYQx6vOhmiWLxsUWJm2nPk7iSZwPcx5WHYZd
D6dTcTTUOapA5eAen0wrflKzJQxDPgtKzXntyiE3qcjyNhHb+kQZHdY3oz7TScEsiRdcmRR100uC
hqcmHgPl9tBpNHQn+BwNqeXynUbmVV0NQYs4yj1wZgttqrwvTcpBM4kCEnoyrI0M84c+G2kk5RCV
nRqgb1MMO4OrVy5SYSmoT0WKY1hntSwe0lyTpkxmKFQcXBzxMMX4VKSyVMBKK1fAjVqbnXScv651
vIVZ1KciTSXjGXDthnRTBu+Qpc8hkoZ1z6lPQ3JRKzu2dDBdOkXjCnztWtkikWqqgmo40OE/xSjQ
c2OVLy3oPi9msWuheJZmGR3C+gjUpxutlXPSNFmfyshWw26a++aTU2IOXDQyeio/anBMZxX1qSlW
u29yXiagIXYeFPB8wpEQyyLjKe5TV3O8iznwygmsfpOw0T3EjjUw8Cxp+9RSkY8J2nB1Xa1LmweO
70XTRRtu5gV00xVll+ix+W2pUVjMY344xd3cRMKB3lvZX6w2tudz3RUXQZrx+UYTmcja13Oflhnb
3sVdll/AUYh9FaYYn3BEwE8yvIJZVZsN9lw4SWjCso4PgTfwsl9oxlVd20+geWLnS2Pkb8VQh9Xm
qU85ElWDgWNs+lTQ8Y3O7au5Gt+E6d3LevNsnUld50MqWvVn280oKeAwmECleFAdoGQuI9f0KTGl
/FNAU+HCVc0UOGW8yDrG0bJuhHUpIFUlHKgvSbRG4hCmGHzqZswaQY++htHZtLqEof6qah9iMX1O
Qe9Y0Pg0o0EvQK+TuEsnXuVZAt3iEpyN0Eu1yxuVVxdNv85vXGPrS2JJxNOxKAb2Fra4ieEl1P+s
eaNEwy8q6Et2F2XVUp6IWkMxPl8GGc/JRsvB/DYPOHK7eB3a6rorimjYcUgs8R4xqLUfRO8Wt68R
VMl2HLrUy6UbIlmmWCwFvcy6cl53KIZqwh8RMHvXc0RKK/ZELDDmXOtxO88HVVjYbYc3d95gvGx7
OzWk/XMRlGYvR8qj8i+L2DCkcsNqSs0Cz7vvx40dynhictcKjKodX0XuLnLU5eoply3sC4uHDb+B
k3DmZMLcXPbami2NOyXX87mpJ7qfDM3ZYRIzhRJ2XUx0l9d900E+q9S6k0YTkTSdNujJ3GaluqwJ
Gmm6gbbnHSPVdLltUfPctFNM9zSepi0pM5Ntb2pUdiIsC6Gew2wW6njlSJdyVnRQ9YkSnBMVBi2f
6UVotkIiWfdpwZubjFZvMqHD5PZ5XhN0YpYag9zMZalV9VXGUFhxkHhekk3ATEFQQUrhSM8lySJV
JapGXaBOvMzGxDnhFTTt0hyXZbJUwydemrCkj3h+soTtrVMr4i51q+ufwwYtfdGRsQlzZcRzlAXX
sWsxt2luKvqUQv4KzH83vg9yZcRzlKbJp2nqpy6tZO5+N3LYoJjfyjFQ7Z6nHFo9wjYR1aUKisoJ
w+XTYsvDNn9Rn+QVA4QZlX2Xrl2fNfsunst0GWIduMrxaV6o1WiLCMxInjdsOWDbui0REauGfZDy
farX2AxzFhVjl0Kj6tPc0ysW2bAdHXA02GmM6t1spmEVXVrECnhkoxVLvSOqxJ/CZPfgOrFhI5PD
fVoPapOJ6AYCPXaJcRgXg2IPsXPf1iheckgQ4Fz1xIm5PGitAxMEn+/VizkrtxxCOPRozA4YZXzX
R3OchinHw+wcw1ZpptsONrrW9RUnExsTPhgexu+nPtvLlm0ORKYO3HDrxFXRkvhPWNOuYaVg7IFW
LM2wNRbyVShlLZcZzVwq4lEETnpvHYJJ7ZQ+RqdSN/nOzkOeuLFpwhyOT/lCBi1ugXVyGq0tuSmA
bX6zNa4JY37CeTunqGKYtGVRVn3KuJiiy0q1aBdn88we6B3es68ODm45vQFsN80yXss23WpEzNu+
0lO3y0SL+/1su+gtbDh7HkWqLveQxVVqlytYjJ4XEWNdmPV9fhjs0+WxKyH/nNehkLuoKeEAiqZo
+zpsGe0TxHhMNlizHD1TNqLsSaNz2He2DusYh1WnfIrYFjsDO15xm8KZrrpKlrmcaVJWdApMsJAH
b263xrQYbrA6DLTlzb0D9v6HINfhs8TqsVlH5bY27U1rd0tOPm0jCxXcQ3Y+bMjaSjQp5LbnNa6u
MLZhJYDPWyhvUdGbKIrzGU4QSUc62V0VUWg1zNvrMKV46fJY1CZH89SmmTPy4AqcJw3TgaHS54nN
At420YJFU22W6K+mnMkHE0G4CZLdJ4rZkrYdbVGTQq71XEzbk3rIHzjL5Tjf7lgq+jyxfIE+Izdd
m9oFF1eoNjKBN2fMYUHMp4rNFddyqkiTkkp2eVJKOVwVwrVFGEx9whhVS0d4GzepYG25G5S8qCha
w+KATxkzfZvnmdJtqmgxP7WmoTsxltOr79v0mNnfpXgva1ZztU4zgvheb3SAlD+2uTrUMeq6A4dV
XRuUYxGfuwOnf2RZP5o63Yz4CxbqzxpRvPv+E9w9dcjxKKnbZFQ6xdAahO1YsEOwy8pksG66mckQ
dvQAHD57OryGXLktsrZOVS8zqO5Yedlw5oIgBS+BOB29w6VbNgPCZ3kBa3yE+wSOlAhzB8Tn7yi+
iZVZKHageUTrvtXQ/N2VbVtOYStdnxooV55JTvIujR0Z+wTsUB49Zqy6fYhxaeylWE2k7TApDS6H
4TdujF/nKAtSPY09TwxnhowyNiA7FE3ZXhvo0GwOtUGohROLTw3bgo+JKiB7HpAw2etpjfo3bcHC
NqnBYWmno9e6RS7Gtj6GVvmqbwhLR81kkNKJTxHsoWgUZ81xyhdQbOoG+SqiuQ5UjLcYcuvYrm7V
NRA/4GSuHewpHd5vteqmwPE9s8ppznrIbOsUFXzdyzyOX3awn+91yHyEnsip4leuocI1D9E+R/nS
XZUxip9j3DP3AKA+V1r+0x8Tn1gGr07CC+cOvBl3rHkxINS6C11NgzmHhZjD53CWHrf7gdVL9zRa
YVXwtBfl0LzHiNBzx/F2KWi0skRtmYPTFdaoql40LVvwrhmGVe+2vMi2v7ps1e687SHm7hwrlw+k
ofTJ1Jfj1aqL6ZxkboYh4AyMIokbTbe3BYL9La+q4zkVb1ste7uHBRvd4Fsz74oYmJ/Py76Itj38
2upnBGfdFJRIEp8QB7zGAR83JB/yDJXPJ1Wpp1jjPCzAEp8S10UV66A6WqV4iW84Hl4plL8Mmy7H
qHsrlYS15tpEfK5SsgHPtsb0Enf2oYM0joi5a6p4gc+5qMk3u1Tp0MNZHZfGbvW8VyuwHvYzrBDy
S3irUF28D3sSLwyiQcHLWCZWpVEf8QOt5vp86+v8t7DR8ameijVzsEYkVTp1tNhH2fZuLPFDejoq
+y49eTEExbl2lXFVymun3wCrmr6QRb5cLyWKHqhs3ncLz+nEmRI57ofqYBdS8X0xDmbQyWSg2H6p
Z9jR9sCi+h6T+6w5oCfkbuJ1foA32lXVuWMLAnZYVB90s0m8A0Z3WFWJ+CS6vIDaSWZqUFqLIyC6
8XfgiAJzKuFV3CI4cAQKAW2VImjHjWQ+Hwl6wEHfYwmfRCcIcDk32IO7r/JBjJeqtuy8kwr6/jyf
6jiIXUDE8e63cM1gbK61iOCYDjhIEPa653+oQYRtbSX+UWB2VYPWqylTIdh4DpxrmWQFClusEJ9I
N2koRRKHilRTSc/7aW32UumgdRwRHpBj3qO6FnW2R5O+ijOS0I4H6tyD8Uri2nYjDL1t9JCp4bzR
OGh9SHwO3QoHoWmrqmxfafxEsOjJwMOqeMTn0AGt8HgQrs72fTkPV6W1Yxox8ibIbfoUuoyJYlpJ
BJMd5fbQ94Ymq6rpedjoHkpjVZmMxZFOhbb9E2C9vhvyNexwWOJz6HIu8mjCTqf1iutzp8b2Ih7q
MCoq8Wl00bpAP6UxOtVlOez7Qj6NhLGHML14cXcp48FZ0qn92FC9nGM8/9abqgorKsKZ16e+pejU
ONS0Vft2Gp5XdZeWpgsL4j6Vbi2WJW9ySKTq0emkdW2822r2gOc9Pv4dYdZn0k3Azt9ghx+AyE5d
AqyxXc/hROEwnXsBdoNDeuw09hp2LTXrrs37bkgy06owQhocSH2qdNWssOeiYgo2WnUbTmSdmSfd
UumwfZDEZ9M53matGIjaN/MGPdtXwAJ4QDOfS7V36N3n0lG+ITicKi9StEZkehLrhsEGoxzO8nwL
JyV1qWZqI4kYpoYdOFTX5t0wVmyCEzJ7vp4PTsXDYetRjq8bwfCUZpJoEVSBJ8f3jN6Ok7UayUYk
swctFnPOshHOFI6qsL4a8U/4ITMmW12N9kDmpgCWxfgWtlQuD+j1nunsEwiXaEBwZMh4XOmZMb/U
JJbuUNjKtvugKe0zCFutRy5RIfaLKTj41rV07a6AV1uQsGWTTyE0Y+W2KevdwXVFf2gknfe9okFF
cuIzCCHbZKQnjTug45FlMxtgkzkVQdRweCvA6bTpxURtNsLgk4Njp2tLh6SrcRg9kTAvkaCFg438
rnUHXKJ+RypUJlDf+yvMqp6j6ioJr4wh2XiYcNEkMopg79lC47CQ7PMHc6DJxjQi46EDUlDSVSZ/
Xgsy/h4ku08fpHPfE8SH8RApaNjQassPemVhivGPK9NmRh30kMcDHK+JX7bNUv3F402EZXA+d3Bj
xTyMbrKHtuX1Dg7dhsNsaBZ2YAvxD/ty8wBHZonVHlaBtqSKK7MTVWCucnzr2W0fySrHIzKA6FsD
x7XM4/opNkXYXkJ4fcbp4NHWN0NWE3fIYffMXs1FsQOnFta8h3dGn46+wTaITE+QWIke/2Ub8qYp
cNj2anib6OnYRQO1x66n7qBjEydLj7NDlgGN7vtT/Z5los/+qlE14Koj8pxnNZteFq7RzfnKcW3O
qekhCn7/NvcEEZ8Jlk0ko6iEh4AXn0T7CbN81y4ujAlG/PO++iIT48hh9Dxv9V4CDWynuvVjmOhe
6K5KwBTwGc2hX/p1p5uh3NsmC4sePhNM9TQeG8bMYarcdN4UEidwgPEWFj58JtjawHJjM/+Ps29b
khTHsv2VtnoeegCBLmPT/QC4h3vcMzIy8vKC5SUKEAiEJBDi68/ymj5npuJ0dY2lVZmVZUUG4QFI
2nvtdfHm4Np9OCa2/7AnMv/JR/pmue6tyvYJWM9B85aVathkCUrqz9H+MdX//Vs/ssAc47U+RCoy
pdz1WBAdfs65CQro31+9zrLBJJLqQ+fmttxzNZQczvU/V9C85YAtSQDkbBp+lHLcn/dYby8yHv/M
Sv4PltJbFlhNvE8WkJUPuUmgR7mc2jpN/gwj/KOrv+l1kXADuDoIccwiQOdr9H0axuefWkhv2V99
kiY18jPYET5f9VCsO9iJrt3sp5+7/Jt1mgwTmfbYiGOu1QgCrtxoe0uTYeQ/t1bf2n1pyxeUwloc
hU0KKdLrIf7JcuYt+QtGXLMLKS6tMhx/Fz7E+HOERPKW+YV8hq5u2SyO+8X6qPdJVmYt98XP3fQ3
y1TGQ+v2MGUVXLhOo9GPMf05N0HylvYV5yAVEaWyioL+IMfoNhu7dz/1qf8/yhdshFpDxqxK6aKS
q0wP0F23Xi0ffu76b6aSo05mOSwTO2ZTssFCPbPZ9UWq92d+gpfF+E863bd8ri7qdcZ9TY9KR/bk
6nVV95bFTXOATpXV50btvr1ze/2/aK5/6/f+2Q+9QPH/A+plIa3HVc4Der/Nj1uZDN2Q6kPfY9UN
x7be+qGYJ4W4mmIkM872TQYzsvM0aNqqIxpr2ati2Ps1nNs6RPVXQjxod2MMSmtfEBl27wsUOXq+
7WnC9d1qa5/Q8xZlbO4Lsw9N1BUxER1pCuOYRiE0UTy6Ihfz1HzVplVLUmQ969SZ7D3snquAhp41
VZhXb8o+ELm9h4WcX7si7xHxA5vv0G12LBKxRDQrRIA1fH9KdE9hfa+AWTpVQFcwLPiAlk3jB50q
dAOSSf6r0gr/2yxztlYUdF9SLLhDfbmuPu2u9rBs1KBGJnb8OgG0ZUuxmSROfJFz2rSfxy7rxXfV
LAj6gZBzn4wq4PYlw6cLSe+kdxW2YoRplC2972zSVwzCyfqwY2STHqK03mxZc7xpolypD7mq0nXP
45uEr1Qcu3zZFXRh8xROSAkYS0b1Su9kvHS8ijviSdkyOqMK44pXXMEAt9jmhs4j+JtyapvKCTTN
rARCsjUTPtk8GlbwlDLoRtbuqs4YykbsJVQt13haU9sVhqOyK0QSDapa1Jh+mZ2ilQ/7xr4v3R7I
UZsp7+93k3L60s4pY/fE1YTc7nXLl6YadmhUsqPwSwJHhJ2yZbiDQoPjeemu0/hwTbyLZjnGcDVG
Nabiae9PgZLNf5u56qamnFaAwWcGBZJ4Tja22VAOY4YksYZHFxvIYRlGH0HFsoO0BQcdtqzLIeBZ
TtM5zQGkpWfaj7wtetqLI+3bsZzo5pUBJBEiu14qy9XexIvtD95gj7qnU7PI521Lm5HjdZjS5ShJ
brdyatoshUtsG4YKfU3LP3NHxulGbDtAoDaPl80UXjuA+YXgOUtRQTlHCClFToh8l/Tc0CMMVvrt
Zkx9AlQ7dvBW2zFmdmsD7VYcLHVgclKYrMXD8i0dImhmzMoy/Z7lKuFVW9tcfkPvwwcsGpVNa2Vl
Ptn7fokb+gx61qyOMjDIhMQUT/n1nkdpf5u0vt9/dOMwLVDMmGjK7mcs2vYw6jakZ60SOX9sI8Xj
FNtb39C8YCoT+j52rk++ZbKueSjqRqjmyvt1za9j02XTJ+lpyEt43sdQozeeJALWzjkdvtfON31T
9HPPv+WEzvoj1OV7W2K6hLMLOo8p3IHVZzm+eYqy75M0635WqQ7hud/jJCl1i5X0XWZ4zU9Nn+73
TsTNMU5nLh+4WRg9xLzT7dPct9v+6CHwSCNMouEbwKuLEzE9W+/G8dcek5v2RtKZhKtpkkN9Naci
MTfLjMTOUmYkSz9ziuT6H4nv63tIyKNrjJH275C2qEL6vKkaGARF1dbt3F8jQ2LdTzAPIp8G0WWi
0gOUju9YaIfxPmnqLjn7qVvCIZpbuZ1EMDG9YnTr448xrfv6qZ1Fo0sdXARPRBkLCxGNogjyW3eb
mzsb7y4+E0318AHBHfX0sOSCtce47SdWuU2u2Dt9zk17BH86MXezWOn3AZ4AY1kDd/MP7RYbbCXt
tPkDzSdnmirGtGq96SUMjo91s2jIayK2Ns8ttyI7K601LVwdGfqtbYXUZTPa3smCj0kdI3soI9vZ
Dsq6yvk0jipnxzQpxmH3+jNxAp+gyuMmgZ3hhk/RRY01hdwiOx7GiyVPAUO7vb+fPYRph1wb/yWN
g6eIV2sQFVkiCoLeoVxqXmssYVbKoU1VSZXPp49hRj4jDI6UguVZQfp9787eQSX7HJBPZ+qinR3b
sN/v2k9TIR2OaV8A8V7td7+sJH9BBIfBgdDDrUY8DbjK5UFqt5gDQhwx6TyMPlV5Ae3nmF8NiATv
D+vakCEUTeL4fuM32wC12JAsJU5xHVAjQsnWtmeLlLWo2E3XRe9p3pu0ajO6RJWN10RULOy7fDHx
TuRpdbsXV4uaorqafVqHW4Lwrsc4sbJ7DxQ5DX3RDYMTR7jGN+5a9Ohg7gNwJX7M+g7nnavrfAbP
O2u3W9XEsi+n3SSuzLRhEXQLxtadh3put8mTi3sFMcaYOffYbTFLTxNGxvJ+gtNdNxdryBCgA1/x
YvZGJGcE2lr3kNs5Gr+m3caHWzoQi3dsbNXQ/iAD3/EmKFi22cPU8G494jfb5CFXfWY/0H5t62vb
dJKcIaKlw91iUmRuHbAdDbRCVBKpX3dYJcPT3LYyP9mpaxpwm6HAwjvC4aN03UoX9ElLRcAZTsEh
jg9WI/WwWF0Y0/f4mfxlTVq3fRlgGg9NukjbKStn2C82ZYT9qS63Wm/vZUodOXGhoXXJxxFkVbUa
HpVBLw6RcmbyGwQkK0tKDBR4+4iPm+cPmw9Nd4rGNMPkqKv7aHlWap/Ga1B32x1V0bhv33Fq2LGH
R2ocJ+8ukxoSl6Sd2X63xyJTFjvxHuozl3j0MJqlCBy79diQ5wekX1hzjl0r3GlzVOSXk3tr4QnQ
4DZaWziBVR7Dr67Zl6acOx/COyK2QRQIMuP0yDKF/a3oiZfmIXYJn7/uxupMFoNbt/wcMhJv9xne
/vaTtBsiaPBLkql+6AGH+Sfe4yZe76k0WzWSJXcnnP+RbnBzU7Ue/M6Yb1A8uWnHwzTNelx9H6kP
LAlOPa64Z+v1LMEffJBr13ZlJtvJfto0S/PPKmWBqwIOYfGocafI0PwY4ZkaP8K1PhNfJziv9F/m
Ye5T9FcwRCSlkqlkJ8WcDajf2pjTqZijJeAoHDYcH6j2YBlLo3xllYVJwxRAG2XRN7jKh6yMcajL
877M/TNb8H4f+tgPtOy2HfMXxcbsY56CF1GSwGtZohfNGBIRJ7ZcpQPL6VqQLVbzvW7nFpLjBPad
Ry3kMN0RpX00FBQKrK9ymt12zJMuWx+SMTbw38WcVTxnfPTtcR2QlPM4py35xC1SXiqb1YACeBc5
eh9GXbNjbKRPHzB/IuPT0DO73yRynCdsmBnWBmjxIKrxqx4mquauVoPQW8mzrHkMYL5E5UY7tT7Z
3c8QREP3mvoSNoZ1XzKRdPqht8CYilY1w3wgAbra4QiJWnLgNRnHysR1iifRtUNyly36kuRK7aX4
4WD7tk0p+JqnlVrmOFmKft/CR8kHuCYVu4Jq8VlD3EZeGkunWzMuqLjKtpFRmUi4woUSu/taME+J
+5gusD04NdRrnPdsi1GmEwh4tSsCySJ37vAR4nfLNDpWpjmdqz60y3jVb1jqn/PY+PWYsn5IkExi
YHmWZB3hFRnAIy0sSfajwGHkXWHyWtr7BdQpMZaKKjbc9rYODzxcAlB3s5Mby3kfHzgSbDYcoyg5
KrNn2Pb9sEbNuadj7p6XoU7Wp9EsSYlBw5x+CUPt17L2bXZCuYbUzB4qmglTt8Jssj21TsNYI4Ou
GoctKffdCV1MCEOilTNxempQD3z0ipGbBlZKqqBCzrZsk5Q28GzVaTFNmaTX3DfhRwb1j7xLsXTU
1S7tLu7mKDWPsYfFK1og4m4bytMdtVOSmcc10mCSu42VFDLyOwxFINZGeCmBGzlkyHfB8PTD5KPm
0KeS9oVSm7tZ+0E8NB4O+lWP17jMt8WXaVt3pyzLxO1Cm3DdJNvwJTSrfC/IYMoupu+G3KgPuRSj
KJpYW9BOlqHv52KLO+Ft0aDaDceA9LhwomvavNBk09dOBi4qvM60VPuyb8fRyPw6gL6YffARZ++b
wYO1UKVuZNGpVmz1Q1HjzeWQyYc2/tG5OrgPlyT1UKyd2jionMnqQ9Vd/ADOQ9h22KZwkwSNZN15
tin6mI5MsmromkTXa5JBjQ1ZqY+vTZvU4t5Gm3XHFTr/+GWnQ0pLEbLV3SyZzpsvqFzVfMhdGqUn
3ekuu5XbOiDstRnXofCJNvyFLIOOH2ayEH2ATUMYYUlgaXueolUMn6MWWcKyzEOXd1VsZeuKJe9Q
igq3sK40A2oUX9QkImQoQh6W7vvGczLfrtu07t8QSuVRDrUO8fEjRn50ynUhIRiSB7jo1OmV4UMn
320Jev/DNGZEHR3DvlOho2nYeb7Q7w4zUyl5gKhG5jfgz5KkSsSWi3MC2dT2awd9gHpYrOM6LoNo
1vbazpbEtIChCMeMcZfpEN6hNWYpumBQNvcbaweLfaEdmU/utMKSfN+jWfWf+7wX52zCnIlY5dnn
xJI++qIwpUSbvE05QhABQrcl3g4US0W9rNjdrVm2alWN4R8pNP3uhXvs7Z+snUUqq5zNEc6resyj
9T31u9yaIkpTRgrnaqNKUZMhvbc738KvGeT+ww/TQc124BJJgk9haDcBw4F8Mo/IeM777TCucHe9
El2UTo8Uqww7YkzMzLE9tRsDWNiOkDWfJIlbfyJ928eqynaDEqAYKKUNbOAn9B+o+ORchlVfahHE
uDj/TjpjGn8l+qY3L4ONpvU4yciJs7ViyfHEduFNNafDtn7pRQ4tEm17Yb8438/rUTexikrRL8lN
Nzc1LWdMk91tkDJr8EhYBzGgBcpeGr3OKEpnCjuZl2WHSy4E0nN9OzXpfOXrjT/NJA0O1UG+7/oh
DMNQGMR1FhCFNQtBvhiX0zF4noeyQcLpct6JRYPWioUV1vkp0oVbnLfvWOJZ++uKaBN+2Ps4bivq
L+dq0VhkTJxqlNm3Hay58NaRRJHrWiIy9UY3YfooOG5CRZzLkqGIO/AGXuywywhVaoijq23He32F
OiBh1w5HgPzqPemu0AIk4vMEi3PWlrlo4u5Jr3nbwhI6UbRbCrxkOSk5dtWAbi6CcG5nbdLdc+nj
vTRY8B/6JFeHoe7oiKVWL9dTDATjDngFyR/5uNH+2q9GfAMS8wmlh0spIlUoKOATMmLSpzFt6i/w
s5Bd1Shsip00/Z1zMSqzHQYj/jww3pZ6DwgcAf8/PnXMkOFudsQOd6Ze7M2i9SS/IiDavUZzb221
LREeY7axl37JLsOdnuNs3zL/QlFLuKrZZ9Tq4DW5rRg8U0eIlQUtpPYNagOMKleE3fENeC12Qgt8
x8l7DzkCEhj5BemB8Nu89CjGijQHA/0MKF3YWzLzOXokDCQ+kILY2KznlTaNG/BQlhBbKLpr2R22
mHDJDpLT7l0zIxv+kEDmMP+6rWm/llEL5OoLvBoQUGtybrPD2KYhxavZpe9Nh37kKozSFqnEBqqL
dTFIsWvSpf3Oc2XTF+KXdi2Dsgm6HZYN61bIlQ/R565L6m/8Upqc+AaV+YdA9avrB5eh3BVzgmJW
Zf1yEsgE4aWgRr1OOZZswRHZUSIWJM4Og8j4b+BfT3bchMAP8LesM7QyCFU/binz7JNuIgH9cSdq
IIORUHBGshoWBRWKEuWvczpN34dhIwn2uayV4wuc2oQsU9N6cpIuCz/QOjf7jRnS+lW1wy5y5H+H
Nb1Vrc/mD1Ed0/w1QWRG/gOtZQtkRDb5rZhMj70jbkOZNsnsH42omYbUCLOlrKFN/NhFlALNRukR
3+QehqJHsRqaVpvbY3JY6WrXYlDL9h6eyEn2URuxvouizH7kNUs+gEDh9quphlrkFE1ojLdBbeuB
ZhyGvrtc9Ufc8/5mTHrQ2qhEADc8TrLpPLVCzGWuR+ULHdX9Jyh1t2LOofLROvP0xmw6emTUb3dU
7C0/TjWsFw5DHrarGbESV4ke4nOGmGTseSOxL61o8vCgmwnq4XWF30+Rz0vt3vsFFq9fYCCC5swG
n7WfAA0TVtA14D6kXkpsC4IkZELFwaA/5rH70G4URSIBlNA0qDJkHsEelu1RZUCDzw85b4CbeMSr
I6eEmb27SnWsX2C/LvunlE8QgW9IYHjq8EEK0q2JXkps28H5wgAbIw+6b1lWEo2P82Gaaj8d5VzL
tkwzpv23C9f1PI2DUjcbY/uAn9FH9qlPMj88kIZ5FGyhI0fOdTSdQKFk/h2g6PGAbWIcjybPpa3S
dh0S0OUQDHuYfIxNBP4Y13gWgCNqnU8a7bYHaXkNwT3ZqJVrOeZLMlxH0ar2K9iP7T+iHLFJxYBo
yJtmnzYsn5rjdvQ+PvQiW8p5dv6aTAkKzrYbb4Ju8yewl2coBODvCJwDRg0kY/WnaAed/MihkAkf
gDNtKw4iGyc/HDdNypCB0++AB+yw6PE8YkLRfWn32aoSTwqCd963qMyxYw6rKtu51vAvh3mRuINF
Gmel8FQv523KZn7FEMuNaNR6pbwrohy2h0cvyGURRnJtGqQrzuiYsPn0ldyt8GcHUYYo0mlzA5Yx
5l2vC87O+qyNi5tqhaN2DCamSrPkZcpQoVWrF6YtWbZSaH0cDf1LR2FTU8Xwm+8+DQA0skKNS9t+
iLcdu0cTRTS5pixRealEOqTVBDRsLadxBbRVQAS1NZWECi1+yPRs+DsEgnRrEeACrQ9LqPOpCOme
oYIROnHfI4NUhSKH1EO8Q5bNyq7aoD37TvFL+Y8WBSq9zW0ysDIbWJ8+Do2PYZqs0RS0nVXqKUDA
3x9TaWMVihxi+xUAZjvuDRp1B8gBL/WGohCx6fWMrGth67t2irv9nGTxNt4JDZy2oJp4+KXr1rzG
Oena+3SvR5B76rgfTwtfo/QRAjtGsaYM2T3mP2PQR+Q3enMEXUyrElOVfPk2emUjBCTujp+jAXDK
p3hQlydE0fhUiRFaQrWIBkzdL8AP+xL6CmeXAl4sSXoT0zRHc5m7aDx14Fms33wahK1qSmt35bFf
+8rkWveHgRA+VykSaVxfzEaF9ohucBA3dQb7NZAvh0s8GNLSpkq2ndiuaxczXkIn0oi8ghNDjAXV
1QrzbIxCp+aarhvZUbM4nZ0AEkyY1s+o7QrgsElfQFm4y2rGazAcs21J5lfW5f0QoXdIMkeQdwsT
k191rwbouXpMyBwOU4U6MSujwYgrmuo0bOc+4YS/wDNauVuP1n7T+MW7TGaoQTYyPeSsG7aPEX4b
ERVt4si0HC9u1mhIV76v2f1y6aBv6mjqNxRf4MvCYCrUTfMQVGLRrJiFUCzwrAdmxUrMWnJ0q7FV
YvzeBXTXIMgFpuJX49ZoRjHAcjRMk4PcdkVazWSurZgW/pBj82hQKnK5/+hbTCO+SOmn/pg12Rh5
3F1NRmQxU9O9y1DuYy2ngmX5UaM0ml9bneWeFy4RcGv2LFv4cwJ8rkP8C/B/902YbOlfdLRM0ePU
YODzbr00qnAsCHxIS7bO8DWGbE6b4dwqzL3wkmSaHA1D40MPyFFc5hsoAJvclztmSBM63c6wjlVx
Th2/8RqTpFtU15zeoizK7PtxkL25Zg3x0zlakJX+hcRxHZf0UrMdl0lFSzGw1Ee3Uwx3qnfRYpcO
exxs6EuByng8hEVxc99ZB6GLymO2Pu8DeIEljy2GPB0ZRljMmCZy3zm1un4m3mLzH5FvINf9OtoR
342SFb6Gw9nrhgTUU4i4LhO2ueUUplGQkwHK7q+Gnu7xC1DFPL/uekwCSx0rEAAOEJ7Ghld4N3dg
WxdELTrOJk2XklAlowJr7o5qGzLMGnPYYxzjBNTq+dhFCeY9dMSIJxQDItZ4EeZN55VpWZ6d3LaI
/aSzLYpHWLqlfhHA9BpkpU2LSORtnhhrX3ILV/VX1mSLukVh27HjkLeLeO89RjPV0HDZQJ0IQtpj
N44DvambYezfe44bcxNS3tvreEGkzt2Kz5oi0Tzs+aNcmGquN2lE/wGNXlevZbygWp4rOXEF2DqD
R1sXlwsWs45KeH/QoCvMARkXxx50wIuFMfsMB8PYJqUQMMBUB4VRkF3OKMAMbqxjUptHnNMjgGeQ
cTBKQ+0mwnuC2w5xlcjbfv+A6Um9HVes5KPYd3aLJppGN2lUCxR2NIZ7XXoZ4/H0KpaU6qtesjm/
3YcJEt0kDZP77LtFwLSiX2AdcnSN3kJbJJ7mDDPOFKSreLZ8LSmADftFrbCsf5xgu2DT48XqNQGm
seUId+dmF6sshfK+r4Iyl0Q5Z+l9bupsPGcQl/vTPOqFVM0a9HibWvjUACKNMW+dgmHLsQOInxSR
TZLoiBml66qBNwJtp56tRoVEVEe+bgwp8jf13sjtCZYMmQP23tZm/0HGnDTfdD/FwzkmkDqeY6C+
8x3k5cY9D7CkRm0z5tl2m2SRDb+GOZf6NoQmsgD4tpSXu0A5UgBfXjBb6awF2W922d0SK+tLFxAc
ejb4CLJa9jTtS3DjKWbmWXbhqK78KEAPvh9WJAN/iH3f2Dvj9mS8Zoi92y9Pm9XQOggXkAxvWSa/
AeaLSCVzHmkLs1b0M6Ud8barAyrrHgckNtJLm++N9g8iMispQxQlBouFzwZyCZ1f7qDQgKtQSZhc
PFi2DhF06R3rfiyX8/EHW6Czh71B3pznSYSkiLHfDe+JManD2mtyNbtCcwuhPyAmBEWxNu7iiqR5
BHoNaeb6Pm2Z80dso/BCXIexW1+d3PR2O+1M5R/NttAMzcssl+sQ2L595Ezp9eHi4UhOVi11oWB2
MxeoRpsLWK63FWcuBpiPPATBrm0LpcE9BiUKHgyojXdAW3MP1CpHcGWWu68Qrs68gLAo9YeN6h6o
nZnbJ9AkElREK0KZnySYjTgXkbEB70ax8lq8MB0L0LXHGPOs9WqszTy5ooPeLysmDh4BKTH7Nssr
gKQG4C0Am9h9BVqxd1FBHcpXWeTYZR0wxGGC2qOAST36zuMGeSjCgcYto+1nKKzDYorFI8RmvlKr
yztZ+hn+4ahDY7rlSWVICypH9W/WONjzRjm/wqSKuDIGI8gWEXdzXcIomXwg+O7oZvVto8+ivWC/
DdrvTV/2zKx+mFJrDkAL9gVM5aiOzv9WL1u8BZsNJxh1b1sVUzktxR7a/AEDq3GpaA3x988xmN46
C9GQjWoa7XCIxSeZPdP15xjqbw2F8oGsGNfguqR74gAtuvwnJTRv7YQmuDWKumPsiGMyBogk1vjO
Yre2f6Lh/QPDKowMfs/0ARSWOjDSMJmIsP7mdurcjfLRBA9EazQAp3SViAVgYk4fNwvoFg2WjOJy
ijY8p39Nobqwiv4Z2+gNsazBiGbrIsOOE9JMh6qDMuQO5MG5RL2G8SNmcfz8r3/SH5Gp3nBBzWzx
qoFTfIQhwMzeuzDVS6Ub1LmVx8kEd1I4kgyoSrcw/skd/gOS5Vt3Igl+GE6TND9SjkwOB9uZwwys
+U9+oT+6+hv2mUain2WtyMEcUd96k7x4rus/oYv/0bXf0ENRps9KN3V+DIj9KFoTzt0ykJ+8+BuG
mUsSN04LzY/AoA8YpHZFnQB5/NeP+Y8++Rt6aL2tnctFR49NHFmc6WtdJC1O/5+7+uWn/g9yXNpr
AnYQ7ku6K3jzOoGUyX16/68v/gdvaEx+f3FqEuX1JvG6tEykPywwJV/GNKTIFeKp0oVewMY+QSmU
65+K5yNv/Wxa3ngGG6H8iDjU/GM2G3svE8Cr//oX+m1z/Ser+62bDZOBABZqsqPiogUCLcbgMVzB
P68hcfQlQ+WN/zNmyUivOi2f5d49J3jT8lNtu6VFr9K0B6Qz/thWgujmwjGUZP/16f79+/Yfzev0
+F+fw/79P/Hn75NGs9+07s0f//48Kfz7n5fv+X9/5/ff8fer1+n+q3q1b//S774H1/3Hz62+uq+/
+8MBdbkL75ZXE55e7TK4366PT3j5m//bL/7l9berPAf9+rdfvv5Q3Vih6THdd/fLP750/vG3X8Au
xJjkok759//5Q/7xNy6/xd9+qV6Htvvn3/T61bq//cLYXyFCyZOcctT2l//+8hf/+ttX6F9BwIDF
D0tEigyxSwrTiOTT9m+/pPyvgCEIKDKJAH4BvOCXv9hp+ceXsjjFd8WUJAmumP7yfz/c757Rfz+z
v4yLepy60dm//fKbgdZ/v1L45XjKUpFlCYXKEoOQN9t5N+YgpwmMRToDJBuklRkD3bXxn9rVrQ8g
Cj4vkYmeRuJQEmPgrW9AcAGjAfzUHiWpHD6r3qxfUVV157oXCAQfaI6ZrlgKQAru2IEw9m6j8faE
y7co/rx+bADyvqIH+eYXC77jLhBCJ4F80SmbHrXw9fOcYj6KXtB+JFOmvk4cxtgRQOXC1n3/GKb8
qZ+G9QYGkaBaEepfiKTxIZZ7XTQY0lQChIv30yQ+AV7LysSDkTn283agUeSv4hE8wi1Nu8pajaIt
zO9jRdoLUXeCasKJJ71FfbUsbn6fKVho2wa1eOMRQc6Ny09gscxXmHf4jzhcQblJ6+FXoOf/h70z
240cybLtr9wfYMJonF9J+ii5pNAsvRAKKcR5Ms78+l4eWV03UpW3AgX0SwP3oQpViMh0dw5mx/ZZ
e5/qcjTi5Ltrly3yRNd/Hyq3u88GWZLaH0FHmDY+XnM0nDTMylnT6U9F+mueIYEz43zgeOV6l5MO
MRMQGV5zCqDf8coEkJQIGM8yUx90VrzUuuP5ImomADI8prWvRutk9Qze8Bcndx9dreguklYvqTPc
tRmxVNeE8vx8yP+nX/ZT+g4kWn/2X9/2vywQ/4uWBMPWz6vy/3s9eOLV/j/+jyp+K35dFf7xz/25
JHjiD0GjQZhEOOiEZZxdZH8uCa71hys9w6bC1TEGU5b/3yXB+YMxj47whGN50nHO3qf/XhL0Pywi
zqTrIP4BvmIF/A+WhL+WkA7QkEuenO2xsuhETHwNhyAFKm4L13aZIDLk21Zknj/GdhpaaY4aVi2/
Kbt+1t+/rkB8HjYZOggOV4TH+MsKlMk5MjzhOTs972LCyfPsB9AoappeNZuZlMGwjNau9Qf+FmPp
l9H1/CyxhsdVRUUwjdJ4yJndNoa/3LZ/rJS/roz6uWT++r2kK1xTWFJ64MR/LSO8rkPSxIVA/V68
9hXfQwfBYLaStZe9efS8td7VhaG2EWpnmDC2WQ3/WU7Mz3uBMGtJIST+bcYf/vU75Of+35wN7q5J
53YXQeccXT2t7//9T/2bO26a0rXYcTzHM7wvhSSNwTFL1szdGbW1t/LpyTWddD+lRcN+0E2/ubA8
p1+vq0VgtcEdt6TJg/TX33TmF8WcuR7DRhx7O7tz4WcMJPzNp5zr0y93z+ONQBu3Bc+w/PJUySin
qWhFzs5KqPja/FweFcPtWKbv//HFY4u2WXT5Pa79dViTpa1c0fPjG0Ev+qWWfU7pitZrVDdGlv+m
vvybO+WxU1MYsFtj6fnyq4D969rpTGdXY6oNCsoLP6ENHYL4FsGc2b85cP00x329ihI13zBZEVin
vtyrFO11VU7s7CBM8G6MNRuUE4nbgpC8Q10y566BVdomcMv7tYaZ0EUZfYdwxUZdzS3ajMu0s6oc
Q+Kt0PSERXSfbbhFaEFe3PQSqC10k8prD0NWpYFRlgTvM5E6Gf16aqeAaRh6OFgZ2yeq5TdVluo3
pqa/e889Ci3pScFa/C/P48TxfYI+cnYxnfsDLVX3sIyWQMC3HkDAt00WdYdKxZ8OpfPGlLm8n2LT
/c2l/rvnleYCHLzu0Jr66qFXGcKKFRXerigG80CX9qoSNg0nkdi/OXP96yd55+wgQ9KksbjWX+5p
0iTd5GUgMU5EAsM8uLgw6vK1S347GJ4n818fWE9IwgwlKRuG8+ef/3LQa0vd0BzZOTsT/8AmH7V0
r1jxbySi2K2t8SBICs44n8tNNiCthr0rWkD7qpn8HMJ+73Uge4vjUE92g2XfDelovVlj6+4nGxw9
wDq13Hldb172/Vhf5EmZMnY9WUq/0Yds3hYuPEJLqwu61RkOwlvwCkGSbz1VLTut7dpQqVZuDAta
m78oCt234tqKdlMvW+bN6NFpgKy+riwdy26XdPYmHmcZjo7LzERRZm9Lm5UHgvOmjShoQiyepfmk
hDqHvO2d59RYzetJ8sPXzuwCcIgCA5aCXyTo/KRny7lYNcBxmvJwHlUZdCUjP+p5aO5NqZpnOVTN
G3GUBBsnbSVhyxEKGUWEeb4al23lVcU+FX12p4mmvXZF6cIY0q0PczWv1Llovs9IrdFJIY9DIwAF
jGXrvtvTudyNhPGSa9lThUiGnUSr7QsYrWvDU8aVUyYhsyT2IKflvhp1o2EFiOWtrrsYg4zEdi+E
aXTXK2SLH/etvetalQN39Q2Jch5EWtFSY6/1UBzHGlbeZ5VaLr2BfqZP1EI5hIOMBidA1yXPqZ3G
H5RMXJPJqC4TOsCEdwz6VQudzyUz5IByDd6hd9X4yNQLAppKq+ls8nyE90jZtvRw6V7/4BaleRgG
MaLAtlqgbMu8bEe73NStiDo/jc/6Truy9ft5rJe4RAqAvDAf3XQvY09tK5f7LbuRyzdqnfUW2fkU
xtxbFqFRTzeQj9YLx+jlAn3BfDEShF7fFXlyPcYtzVYyo/kcdxDYb1g8ZlZOJo7bfl5O3uPUWX3x
CMxYQZuJ7J3uA7/BiSyeePom3R1zSnMmtyVTs0kocUAjVFDopvO50nDLfBxpFY6T3oiynSubjNZp
PiyXMi/b42r3DNpOweN5hWLh4zK0d3KlwPFZD8rvtmGRAE/WEiPnTdUelFc6vhFDEY2RAGhZYYlo
FcceTh5tVQFWB0Leqgj30xzvLaMeE3+udL5vMimj9hO3t9OglHbi+ZqWrpeSPvow6qRke5a6iPuq
vDOqqQ/ydNkCtSf3UngzQyyaftvx3faopPT0297bu5Youb9zCYg683ycjY8YKYoBRL+O9ceReM8L
Y2l/1ExM2qQDGV0qadtXL+IMTYFqtAdaIspnqJIMcjniNtBXa9ppLsIkAWFcfeHmJ3eAJk9obB2S
iqzwzLRiQMy0fCPRN7vKKn3au4aKPgCmrMjH0TN9GzPRhAW3mCFChthnKbGJ0zImO+RbxqRliXof
rbL/Jr1u2Xt0EneqG9wNR1h9C2al+aX0tvNIgQh3QccKtGczO5zI1IAsPDZHIjbci45mRA/0O3FQ
6GI3iLLoIV5G86JVenyt5UwLVXQO3lJykx/kavWbIo4Ny1eRGqjKVbSXIJz7pOwh1qyUV8HVYlqv
AHp2Q3FcSiu5iJvx2XVVd3RrkRO+syz+NAzDnrjJ6tQXlgsNTWR9WGO2pOugsoJhL0UWmENWhzPi
k29Y61VnnMcjZ856J1unOzVrnn6fU1ZcoZ1btJGe7to2n2+I85oOGQ1IGDMBYpav3oPdmuuGTqYW
VvSITrGXPQ+gfLu6K+eA6XNdENs3UVHeCpEXB7I87MM0GLkf5RDK6zjuMG1oW1LTpx/VBJro59AK
K++apj/PXmuczKI7YVfuQrfJ4mBmDgnw0qJfFr1hxr7tJsVWAaCEVlFP2xoLnt/pPQcK3W4g3tV4
G3XwBltlOngfeyK9sFJ/znbnA+ta9xRJ625ok9a3al5lWxc7XbetzTTVOAKq/luTqksjqxbf0bUm
WFnBmR5ZvRGLjiGSX24ovEgxckRrwjJ2ThcmjIamnQswbwyTgYtriG4rYpQ3THJdLjLXPGFCrELP
1QgAM+x5O01D+xp5EE/OoteBvaw3ttWSnjBV9uTjvbSfKzhdFOF42TotGQK09zHOBWfogbIKF8UD
ddn8TVapsS9sI9qpdCoCncXmKi2BFPVW8+6Yfmm9KA8SNMzBJ7kadmnPLOdtNvv62a4dOm0diQ1c
UA5YV3NFUCZX56awyNJht1rV05io7jtsOJBC63hqOMTZMhOeUiFO9N36uci0IrAf1H5yhreSZvSB
f93q9+7cbTNTod1gVg67pbhl7Q9pZOqMQWcyKqx/FKCS5S9SGO0RJDX29WFdYTMm7BBFnGzTNF8A
diDj80ldqDWar53CfBwlbc3Y0x4M5ikGBpv8ja1Bl3ZrhO+LqeiV4zOSlic3P+MbjtneSVvc4aVs
9zV9G9+DP9yjhmXHc9NtX7bDcBiA5M7eZuaG2hYPxdhKuYvrwsaJr2ubSHVYkBpZXOL6kTdDU6Rh
JZLqpXYJMGhNaxNpS3ZRKVaLGXblkw0p3WTVVOxXQJgHPD86xr/Zmn6oYrXoXIqqDDPVrT5Km6Bm
tJatprn13i3q8kDP+rOWsj7OU6TfYRptt+B9N6liSirIghXUnjGjz+na+AhrG39aa642eFGW69Zd
xAGcJtpqladuV6uIt8S3fCivHa70Sou3RepVRybeMVYkz4Z8P49i3oGvLMEQtdmmL8W3FuIk6IwE
MMAd5+0anbWr2IyrY2bxJLizFFvdoLk+y2zd1nOaX5hL6hU+0V3pFMx5PwWAyfW7nGVxEVUy77dV
zxXxmM++iypsdbgUXL9J7IvcHJ4XNdenuZ6v5qLuPqyyGS5BexoS2Io54Gx4xUCCbuNFXfdmYErb
laIdD6W17PJae6yiBQZjWJt40xK2d4T1zzZJA/wWDzYTQru5v2I+K1H1bIL7uYmPFVDDg4lpCQ+f
K0PsmeqjraaVnfusrcu0BpUeYlLTJGtzXtsMvWAYw7czBBng5LV9t5QaDnlR1CFCxngzJ+oJX0Tv
19pwmcixCMpl2tT0W0ISDJtNAf6v6hl0cKzX3ej1Y1BIxNC1cU5yxUYrmQv1jcLeUn6cRSGBKljQ
KjRnv5whdjMt3TZOBVgt3is73Q+T3h+KYVEA/Z3cG7WDtVsf2YWNGZYmtdZdwaB05tJuu9pyCDha
FizljeYevXrOQknS394o7rG6lWE75HrIESqsWkZVUcrnG2iNeGMnWbRLCOHfGXw+Fj7rvScP65nJ
jJAGTBYU02Jv1mzd9037AI3v+t24HHtteHQzSbbSuNLCVy9er7FHJ9q7m9aP0shPVWrfxSM7VFrq
18Xs/IjzH2pyxx3ptwMkfYyFYsCI0TbHxnIuU0s/aQiqAd717rJQGuYrT780ySndRZPhvtegJNsY
Tyy7VMD01nGHobp8Wo0PpLhi68oWS+OUlUHRNoU/0LjiBnbp/UD4K6tY9aBW99FuM/7TvuVN9IqN
4zLRixcTOuqiK00VDIXKtlWZPGCM21tleT+52Usl20PTm0VgddUVs/n47pIETLsZp81Au8fvM8y2
zKhk0pGFfkEAwKGqpnY72cUtUrd1KLLkO7LDgTyDUHNbC9uH7vftOIZtlkR7W5fENcIfXy+N0/3o
i8JDNLMOeaSVRy+1MMtH07orp+h7bjgczDnu3/etmbAaR+Cl4Mz2e7LqzbbsGCEZldZWeaI4Lnkh
Aom/61xK2e3GNBYnSAp3CMFHstDVPeV7VXWSpppBWWZqlSbyONxP5k5jht+um1L0dUujhuEH41lk
RJEEEMGnV4Vrzf3m3Fr7k+bckf1wbRpTGthSvQIAb7ueOr+yqT7LXDJ6NGLNp8UaEJJJi8E4wa48
4cm8Km0Ij2rmvsca5vnMKdQhSdaGTb96OOcCBIA0vpyz5jnTxzrUgaz8tP7uaOaTXYg+WBV79tJ0
3DQF5yeN4WYB9H2cEUMxIlnFXk2xvjdXWW+aKFl86KTsLR2HfpeY2NYGBJGjA+2GLE/wf1tO1LaO
emUEw7gzbZtfKrLJL7Px2tJbzCWlUW9Woxg+Mbsb12k9U93ZRrHFE11vNW/uQwxrp4ozyzbj/HNk
difF0ZllxfGmeg4YTE1tnxPgkh2jR4YdEstdO8T1NmpA2sf4yqU8vIawGXALr2gZXgRy5UmI+Gzm
3Mz89fZqlaLyFbNWt4x3bqn+1ZNBqNeGmcBiK1MlSNPvvQCj4nwvtYqjS9VQS6pJbOPaqd9nftTR
UU4R2jO3VOpDs5eJNuzYb8VV0ybiENd5dSzbfbWs2cauanliCGuxiTusfLnhmo+YIexHd7Z+RLMu
QymrcZcUhngqmL65r/RMu2uaUX2HKY1velidE9R5E2SGoe2aPhl3czknDGH1uisLmm/DXIMqdBI6
p6KFbvQnqnmckHrnPIg6D7Qh7g04w5THsEPjCzBol8IfEujtDmgRy17xsrSUijGK1zsTV6pN2upL
kChKoZ4j8s7LLAOtOqNWIjJkTyyIhYvPto+NwpE5rEvIgcneFLy+WzC/gZFymbGZMgsQuIznm1RY
GdVi3hwdopnDqrO/JQhRwLfc8ZV8qb0cLR1Y3JE5mQnDDgooPZmzUgcyhTaVN81bjxeds1RJAG2W
jpssVdSVllGeiAehwK0K/EK5PoUj4SGHZh3VbpilvSuL3rrgc5bNkObJbiXKdR/lk3uMXC9Cc6nb
0Eip5jmA3dECM17zKtMDe+4/Zs+YnvU8fq3wApzaOYmeinT94Diubr2pxRwbK/yVKRjqVqdJeKGJ
7kFK64mP7Y6V8g4EcZibLqEc7sxlCVSE5CbnjigC0SrgbaGhDVWqMzYl/PzeKzUd1TG18ZlWPD7k
/G0ZHhvFWw595tMQKz3kEWyexoxtOsoBvdxqIC0mwXMcLJldfUOrIJRGm7xAQWS8ZXli4IZIxY1s
W2OTkHS8+KBf6iaX3ve2KM+ZBsN5MKJBboiJ+XuKVqzPnmMgMA0OftlKXVY1Cf62N+eHca6QRNvI
3rRaXe40jbwGgrAw+zl6elySZeVgpmqCYfR6YqLO+jp1ptjHa7w8J7XC3ZRlCoXD/u7MeDITi3G9
NAjiDUxqc10YUR0AkaWX+LCywPWM7MDj943JHo2O2yRu90S0J5fxCMa71nV6IccxLcC+UVQvinko
HN8cjPHbkgnzY8ymVsL05stunByyaQzG/jzrQFL5xpyc2dqoIUk/ax4yB2JpAZJM4n65X0vPcYJC
aCrauNrcE3iSq+IZTnTYaMvESW/t13shY3PXgAk+qCU3Q7omdxnjSfbKU/l7GbXJlnSCOXRJlt6I
ymb6T9dYD1FeXeT9eOWWujoWsNhklbJ38K4WKwa1EqOi42KSMZ0V2h4bYgLKUNSPfJB6KIuqfsYJ
bVzrdXmFOTrfZlUDCJt4+rbQJxJ3MsazvTR1Yxx7q5Qb7Av1EoIXR3vdikYmQi/rXR6N7X2aG+ZJ
4EzdTJopfIE/3l+0DJW9K5qCxCOPHnLvpEPYrtFKuseisyaWgv1XI3CgpOlajgGWGI0I47o1fTPR
znE1Q7Rt4Y/BQNtzbHzOZuA7gI0Qum1XbLVoat4I0pHW+Z5gw2f9uYLZhobA3Vn6EYfJ3cCldi/Z
v5N8m0p1G1kdq1d+iy+r3HljMgcW+qXfkOdywsxwY8a6FaLkjAF4qu2vo3aF4O6QxjAF3Rix8NJH
2GrwpZgg4dVILgmblJgSgM7A08BitTnHVTt6bX6y4qwldqZ7dNo0S8IEKw0HhMZ+w7cu9yCXMsCm
0m8mD94UymS45UgZ8f6X2a5MGAEytw3fqk+ep4XdT1pEV2h6LnZIHx9rx6STambedL1Oj8OS7Nup
n3YotTqJP5G46SRuDsYaCULItZwARcfcV31VBEuSt0fDTW/tnoDeehyPEdirhqkeMy+pROUGVWc4
OV0mv8/4eKKwzMoSWz1pWjtc56OFFNr0F6ajGPVJlD8OTiXcDzsbiRZZZPOE/NF8o6Pf356H/D27
Hjk5XHnOxUh3W31UzjW13BTYLUmGJFz8dN786JNY7b1Vn6+tNYZOEF4RfUeDpcJHL28uKiPusW6z
5gkfDA1KccgrjaikuG0ybEZe33/mptDnjdCjVeAunWk7llaVsGYajffAXjpYfoLrnFSOZeAYnNdQ
0IfeWxrQgFLQUnUJTFprpzz1Vp495PYYbWC52suOhIEwEueOS5Rqr0vTBHORkvKekPXSDVN3azGS
d1c2urhGFnH4V3eQmTHBP4HlODMiOrWsF7Qzjl28YyzT5xxXOj1zUKkqtBoyHqKiINAGByRU8YYT
UBQ0qvkcVvVQ9bP3UBGOxrYbL5njE4uDV1Nfn8tqflo7RgiZfS63yZiGWpeTstD0BFYtaXqMazQh
GjqHuEi1R7wLaeilaJfI7nmQJmt6bKI5LMvE3PZMNgza2Mr2rvA4zI6mhvBCnt2BCnas8HCX9kpA
FruiXwNfd0g7E3kIyiWXxeymIfZdLWHsMV0V7arujKUG9CzRcVA0kjsDiueCoo80rMyuN32aNHew
Wsy/cnobJr4pO7rUCB52xJgw2d/A95vkcDiGfS/ipt2rPOYQqTit1CFQsjpqZPsR9CCWeZu7nfLb
GFlTTI79zO9at0wGwifQDlb9aKxjb5xPLMVNJGKcc/raGh+LhA0OQIzJTmI4qwxQFpsHdzkvlvl4
lpBzIzI+TTsnD2Zi3NiOkIKC7Q295Mmac+e5XxLnko5UfSpABG5pfDoHWxrGg7DiuAltC1ceVbVJ
jEFfdN7LuLg1hYxWVgfBDid4tgXMCvPkQeStkncrG2sSGjXd1H+YePAfBl7hx0hkzWfuVCsHf68r
r6tWSFoM+JVWv/XM/KPVLHGIZqIwBJ2Ru7QkTTnME61j36nt18UxnWuryYrvhbNGKKYYiAbsds+k
4oycjoe4fMsIsT82pcn/ryYPGaLQODAFc6lIJmtq686rcQQHdWnqb10Tyz2Gi7H08e7bN7kg9Sdw
2y6+wUODtpto23Puw6PovP6zrmT9SBMpeirjsn7RePc3WseVz7ic+cGmktwvVbo+RQvRMVUseTWX
NOpfpNLsN1Rg87UApQ3GZgUhMFJ8bh0l/GqMDmHUpn5sNJOJjWWdbUpnmT8l/o5AQ7cBZTdNv+tc
E7daWxmPmlUmB6JXlpOaJu8l0/EkCKerfbG46dFGZrbpY/TNtqlV9LYisvAC1EX74lZ9dFyptSmq
10LtcgpAxmSXXbKNR+uezav6MWJ7vLErJXY0GzR8GpaKN5R5GVGq2muK3FPjHmFB5n9F4ajHxW6M
8+wKjqMnN4quxMaoG6JuHBeL2xyjd1kwYQVRfWVzt3SEJPn5gr+DIxUipCk74jz6qTiY0+Ie5ijp
j6lZNx/E49AYrDGTtbjMnGL1cc0V91glhQj7vKxPLBguxhrQ5xtizhTTe+1ilsEoW07RNcMNyk2V
Fjl1tu3Idz1T0zcE6+kGuL+9IxCn/mG1Q3GqRJUf1yGyPz3Tck9R3zSXseloWiD10fi0hr7+kct8
Mn1trIeXCvTkOVOqc0iTcZQdumlLHj+GXjPysWXYuI9tL0xokN53Vkv6rEvIQ+qbUSduNdWbj7FT
lh9VrB51D1W06qhI8MWsme8UxIqguLf5zYqz4K3sgD8DhXY6UE+R7OMgva/7rkfWs7yxKwkCnLnI
QzNSYGh2s4pjlrRmyVwpHbOlmqP0ChzcqkOLritrBAl8W5i1/gKjnHLCHL1iO2Fw5WxdjRixpctm
I7ucRnTjauI0tiZhYDwS8koMDoKd0/dLYDGT5W1QTZSHseqemWDaZGHptMlhLFV9m3CjCNrCGv9A
YIVaNmQEOR+URuboM6Fxec9i7JZBUTCPbn8OY6GQwhNELt80Zd0u0tkzyVPsZjtwvMp+HWrPTvyG
kv8ijozpAZMGO5tnT7t41VDttUr3jrGzfFcKXyGd42n2OVrznlAj8QtoJuikmNQtWy469kwfx3mJ
yTf8IJoiQrLsrQD3K6iIrl9iIgd6Vq6p7J1h2gwZc1CwJfYERcPD4A/u9X4cB79ZgG83eOJKOh26
U/cbM0mRzjo9e4/wZhwcM7VkUMS90ENHiHRTFlH7rhZnYdc1dbZ/WjfLBRlFRSAwyj+vLV0Hmhgc
3koVlfmeqVrGR1b04mJRJjNop3XRd8tYMuU5H+0Az+aytQuaQDyS1WGKBxplDs20G5sMJNIMzYHd
pIu69xWinhJPauopc5IynHD8+sx6+DRG3buwNNM7ZtBWN9NqkNrEz+6Oi+rUaVnIX6NXyxl/wUVp
C83X6PbtONvUScipufkkJMRIfIZzpzeJa10X9H13Mm6JwitLIw0kaTL7rNSZFEjfPtlWnflm1WK5
1ezMfNdspB2yWS4Xqdcfg2VkD4aTFGK/TrWH+Gu2zx67+aUW1/pV0dTabazJ34EYZ/zhr8iLJ0wo
KDZuCRFrnvGJX4gFwkychgQr93ymp3nKiRm3f51cF0yRYd+mVL0mKCd7EOPIVvrvWaKf4wb+5cNd
my4oVC7gzRe+Z5Ua/nBvJq7Ejvtrz27Unph8ugiCtr0xzSKIOJOd05Ky8WNa2VLUMBAWO+Y6zsDu
PW+I53LdErGzESSlVTSYMIca24kynn6z1G8qYiSRZUqbfBh21HWvbLM+Tma2nvouverkSKuCAKGt
AalVBAzSIC9qogJmry80hO1c7hjCgFsUOghrEWvZoAYSYibrfh44HFhMkLlpU/s9Y+pzoDljv281
FvysrpwaZ/cZlSKX6DeXTp6p/i+XzkOzxXpiSNTBrwPcSh4lLp9JtQ5DyblB3JjmvDClMlsOlQ6y
RK7qfjE8+u46g0Qv0m5Ytl6xoQo4MwaTDKM09khmT0ZySYfS3pCpNh5EjQO2nrULIlg47xY5BbCR
ZXuiBH+X3PwF7z/Tft4ZFCeUg/+GzzmTc788eil7STN6+KyFajKOON64ErS+zsnFqvW3+jzahADx
dRZmNR51IYYfdLyGgxJnWg/BzdKrnFdsEsgecBu/eTb/5vpapu3yXDqkq36FBGM0PFu3S2+X6whV
tCJj71JElfrNx/wMk/56Hz0T4pFXgKVd/wIjNjSMGeJC8Bntz4V0YEnQ1TSpIZznwv4uOcCzRuYY
+vSoColHsm9TilAMhVObX8DseNfF4uZgM7wsjVWV170xiMXPo1XbmKm4b/q8e/z3l+anOe3X78x6
LXSLhG3WIBft5wumSQTfiiDBszd2kkVhlZUVOAJxMIvyhpSGxHz08mvSCuoXEn50IjmlCJKxSI6L
udghMMPyYWXe/Occg/8Paf/Ot2EAYv5yC8/OkL+YNvZvanmr3n4FtPU//5l/ejYIfT1TchZoJ1Qg
byLcxdnNYf4Bpm+fb7dr/7Rm/BPQNsQfLpQktALHdIPTOztH9w/PhvMHbL/wIFJ5pM9/8h/w2dbP
aZ2/Pm7Q0gS/gCQDef7N45brMpE5mZm7bNTca6DwyUFxqMpttWbZc2z3wwuHmuJAG54xSF4bSd+a
TWMjCNHaq1F6B/zk/R1HrKSCY8u8R9ISjGc5Vc7VugrzIbUiKAo66wdmYmTf61QzrpjQMJOBouK9
XVoOXVwCn5ag1XvzI59XOjFdO/RXdE7kvelkJCqlnAc/l6WRJxT64l6iwDEwUshjlRj6TdcatIAW
yIY+sctD3HACsJsoeywZ+3VUmhs9iibJThnRWenSs6RpHkkwhHBs0Gshd7IeNcRJzuGaaE5GZiAN
k+cbWLGFf7giZfrKS41ql3ZpHZqkrYcGncqN4c7lXdorxx9JS7wadPL2YCmAUFG4ltQWl6T6NScj
SbTjTIbSlsPVeGXK0cQfmOd3Yy/6U93HK0qkXV210uwQITp94zBw/Laokv4w9p4gtETQ+x2sq2hQ
xRUpRrQn58F70ZVJ5KFWjZSo0iSXvM2vCyhyuOtVBOd4PL8Y+vXNK01KL1S4bU2oNKk5avH71Slg
CXrrqEwhEUubz6rqyUCoesbGcqjNpxfRz/FjfzbwLGRZ33vREP1gwSb6yvxpBqFxwSljEdJJD4QC
lN02NRLxUv70l5g/vSbu6syv2dJO5jaPzPSmcsfoMnXL+cLT4EpwobuIpuvqpiHhCl64qILwUJ4R
GhYcg7EgYrCrLt1xKD/1s0MmGnVkIQG5RTpEXV0aZ1NNNFvtXUErMTTbUgRd6nwuc4ZCn/T1UaNm
OUFxxGGpVf0TZDMSuOsNT86YpY9kRRLK02q30s6ai4z8+E9tTolAEaClwOTnNP0sXiBcZPaRJO6r
ZTnRqVFnnm92oguJMS4cpgr2ixYrWdgRe0TOUaGxTtTy2S1wgR6ma7ccZ1b265LdiGnPD6Qv6+fe
aDxeAnhUbwqv7X6R5rQn0iW5VEuTH6ys2Mh4jva11kFUMpPB/kY4XH2NkEneo23PzNhLwAcNZbub
HDH2mQyW9DFuivxQ5dP0WkK0v00RQWAJLcEQTYosEGJuQ3Ijw9y2vqWz3t5ilybZbyjGtwyb76M1
G8lO1YPx0oxNfFgHhB7CQknCIo8/BYui+k5C/mpzFXds7j4Wi/jCSAj8WR3VXFtz2t1wfm6eIgY2
dzQjaWPJViJai7JBSAfBjEaxZEGEVELdjeeeAQGlcS0NayZ+42dmEAEJ0h+lPj3aZeocB1IAOalq
9QlbfoubPpPXhHyDjFWDvumTnqCW0VFEKDmZRYe3aezTf7F3JsuRI1mW/ZX+AQ3BrMAWsNmM88wN
hHS6Y54HBfD1dcCIrvaMlKqU3FRvahmZwiDDBoW+++49N4sjlldh3us/Q8K4P11mgp+EXJsrpKiJ
huqiWXQ2nmO+iol1w66MhtFAOZp6IsKGAQfLj5YHMKMyuQF0AOiEzQ+ANzO1zyyJm3gzlCSmjFIi
FLNV3OFb4RysZK/Zm9oqgaXQAw+q0pRjslukcK97V28Wv+XJ/4aFmxsv3kVWihkkjMWflwjw9Jgj
arM3JdpzaqmTuPTJVL2aVhyh0jDE3U1iLL86jPpTEKIGvVutzYK3ZL/8NlUuRkIORJYMskzlSHed
Mcg3Av+QuWJhuk84rO3rrNEVRD5jKU8MCabDgryaj0JpdrnvC5TuYADa+BlVk0EDgV3TMBzbhbv1
cre91erBvTJRTzm0VQiEM5nKPAlEX067wRjnAYFHw6NbGp54c2JS86sBG6101rsJb6jDduOQJEbd
BqYmmmuVp9gAp6k3p21k6PMSdAKGMrQ7Fz8Nae3qIXFGPC0KEUH4Mx6oTw00SOoPg+PEaKa20T/U
sSbOkMpA+oG3bbdyiKMZiEQxP2hRhgSO3354Y2lLqLBIVJliWFRWsoW9EgcZJRQrF8gOmelzpJWI
5MToG3mmn+Y0d44kpNFzOzOZfiG6lS9DS01C5WInwxRoA2bOpia/h08TvgzK667g5f1qZtF+2Il3
b00T2tZiI/74GIuc3cA+6DSwsHif3RFJHbCT8259u3wj9qdHzYlkCFoC11ekj/I+pFHavY1wW5Q+
7A8AeplsFXgQdMhtK+N+D1kWdLYjZ0cFOYfvk0jN6QyCN3rWrKQk85Rb3Qb5HfVGOa36ycQ4+OYq
80D6j7VtHCv7SmRsDnwwkoz3iHv2UYic733LF+G1tnPnce4drsaFBOBfkBCmaSG2qnm/hCGtnXqk
P8EJiq+ywkYVgJIC87B0yvTVljh5UaHc4uRQyYJfYUlCgtqx152qPG9eaA7DaZ2giNRBCKsGMrRn
5l3Qap15yUreOGHmeumz9+UPxICQI+ly66U5I12uSzHyjelDPX9hOT2cOUP1D03v5xelue6RFgrs
qaFcUs7e0rRgGeddhHl5Gt48fv6uoyQNh3Dmqb20bfHGtnY6G7OrPRXomj916N1kckrvOVom8aTV
Xn5nmVPUbdRkj0hibMYxYYetz75E/eTQ7W8gAOqIUjBon8fRmvvNAhr3XWQVJA4Dljrf0dp8sBOM
WT6novgsm37Gfep8V815pbCwxbhcFbyhzz9YBSz1Xoxj2m7RZjw290nVNvvUKLTXHiLUQ4XY+FPG
llu86CqELdLOSt6nZhpHO6kQh9sxhfPRZ1V268X6gjobOgYVizCjzhRdgvBN0/hO9XGi0KxVuGlV
stHTJf/kvSKusExujeO85ykw9oiOlr7cZ23MujEzqwKzWKPzBcnqsroTUNki32iE9lynmTkEy0Av
5xgvVFpPoZQRvjBYPhcZGWh4lA9G/SaM7f5GazJ+u0KzQ9/J4vA1dCasux6WZ7D7vKqRiOrnAf3u
rleJt8nrhPc9bcvuVs8LEO8T4gZESqu7H/S8vldQW/hvJhK3I8rv8o0nL3xM4tm5pB5mz8DiCccn
w57lQaSDvtMrPCaBOWZYJhcNEp7U45ikcZveOKx14ae4pfGxIMo9i8YDs6U7nXbttBOviJdnzUXT
Jl6h2qqTgz5F7gf1veYPxmD+LAzK/bNHJpfXF3fAhpVD9MPlPntw8sF7Thjp9iABBYdfb1xn1BFc
5bPN7knY+bJPcXgceNLW2b5w9CLB7LPuG6u08y4hMs95grrmBYsh+3STJHH3rvIMLS4vO/NXXnvF
z3BIzZMdiuhz6Q0sElG3eBdjMq9j7DjHecl5zH9PQv87NP6LoZHMK2P7fx3s9ZP4o/19YvzzB/4c
GF33D5MoPsQ0Aw3t94HRNYn/8z87LMhsE12HwfT/hvzlHyQ7JWMkAXuHxO1vA6P1Bz/Bwh6Am403
BOTJvzExut/d379PjAYnJrQA3bLJ+POv/LtAMTp5V3qFua9D3XpMI2th9orLExjPbjOm04BjuXiL
s2LCiOe6bwk7iQuPyKHhHjE01h7HpANv0cpe0jgmmzYuzpVOgDM8Qp4h/dHBgyXU0zrOi7EoMFcK
DsAl5MPMurFvymPmzTwW6XZ5If5c/WId3b/Ei4xKbqJGf+NIMd1qbgTytNNEYDVg+ngMGKeJefV+
6FRztrqyOnEZkQDPyv4YwUmdNrohzBfhLIZ1rtkyn9PcM4n4uFb5mCUszI9ZYomzlvKLAttKR5qS
HbRyrkXhEw4bWE22sM+OV43vIGV4qKcCQCxm9Tl5RqXUnjhmlLcDgMW/26zQlMw8RUplX2B8eRHL
bZ+2rurEeiLa2bCu8M+lkDZTyHsXwmHQVNvKIz3A+h23pGO2d6Km6sTH6TzfUXCT7kaaFa5K18pI
F2UDNnKsXsVwg9Vm+EVpmLgH3x3iDMKu8VHrtBRxIwy5InZibq5jnBlQGzS3qHch0W2sUfGY3XXL
POMKtavdMHPx90vOaGzwGY1Sg6wupt3Zx1TXo2XDqtbcFWgAB2OwWWpP5q+4zyW39djG7F7mVntI
RdYMfuVpgxtMvca7Gw+4Bn0Ifgm5wTSjJYPGKKb0etdJXT4g6cvdaJrt19znCbabDjfiwOXmR42e
/sbGxDkJVhtnO+6qO8edjSdlle0V9PGU5cusSUEtoZaK7TSMZeFnVhp1gUwd+zREznzIs8m7oWGr
3jZ2Vkb4XazihJYgKb3DfWhDo75buP+ecR6rre4M9jtTfP5YUFfwYGkW2PLKSLW7ZBFDTXmDrZHz
sCfvWnO8+KZ2NKxCoBT6K7t1zYvdSOOo6fAn8N9UmP27xShYJ/OSQiPMioMuvPQuiQZl+pk3TpdQ
dQ+FtoTvrIezk8gs603iMjhLMecHHp8GL1Ole9ctS3zNtyWuEh9iuV2x/VsNCJmXCpolqk4uO/3b
pOB2i3nsRmwSvul0BvXKY3vPYnHZuXO61VQiMFs073VdhFBGK0zZkDGfm9V/23rVSZsGsZNDyOJv
tm76jLoWadOe6PUx6TnrJYxZRw1GtyNdvO6gZYw92lVfME9/6AJTaOG0Dw22DS8hdhGagEu54WAI
x/+8WOqmaKKNxO1BlQVBXfT5XZU4Q4E/ZrWHoJdhFVGg8kpcsNi8E4R5v6+6Zc8iSfa+lQ4MTbSr
Kc1UHAhFbG489tQXF80cocAdn0rPKq+ERlMQpONqn1uAD+96J2QDQpkQ3pdFE7HyIzG57zRrZCUR
kl6MfFyj+EdWciZuOE2MaVtpS++dVlE93psDL46Px1tQtOAq/kh+yNb86tuUM5lqEBemOrC6ypXZ
F2rSAGwUQjsXX5uPRT/toedae220tK3FXeqot3IJRqVhZ4osnvdYfsInyUsbDD1oRFWDuMUcX+AT
jWm9g8cYNdsy7YcdEHsWMDAbH9y0Xd4ZOB3cyUQ2zqDWq6NJq9ltaLjhDlZ78qtOVNjj66OPBbed
Nu/UDLc/MQW7Tm4TfOHNcXirEaEOTQbCn/bQLDnMYQItlVofCoc6iS5HdB4YspccPEwmr4SVcEG1
MwD+EMBdUbPEzK1yfCAT274KSv1OsmhmeLWplPtuABjI69/dplheSS/V1vAZMVNuTTzuS2Sf9Syb
L9Ql5a+tEXXnKJoOw5KJB/bT2TFlTLyHkhndcBlbbshDFHu3LM3bprzUSX8sWK/dan2SbCgyGJ88
djE7uHsllWKTbI5LVotrrSu1+mzyabpRUFYvacwJz1To6SeI1G+h5/VvUmTZc5MM1RUvc3ZXZIv1
3tslPJmm1aY6aAA13kR0oV1iqptS34iWbpMOJHJxeXlBZ7vGVYy4umxUOBD99IZzPi8WYa7RbrAA
AD4XBEe5SPLWLSrLd/lSLA8h17UWrSTKXlxG9e1cg2FjD2CeJHdeh8FuqYPOSdMv+tWGoz4OvEkF
YGhCJPT1Devvlgg3tz3x9N06Xh4MvXZ+4GKc904YcfSxRJgDs8xLwpL6RJrMMmn9lF1UNb612jAU
j/u6bSAK6w6tUpm6Z3JbNS/2p3uXYpejt8wRzYRxHSRkbF9EOSxPveUalwXEVebrEoNobYUNnpMY
fTXSzK9u1rKNRpXbJzXP2F4xuddPkz5Sl2dx9SCo1rTyMtUuNg4GbTIdnK0wGEjelAkfY6wh5Lqi
G7PuINOHrDDhWyp6jKCFwkyks8gU2zliIJGWS0pFNcnyWBHeN/ypojpRwyTzDDVyfJpS/atFYlr2
SdjBzo9y80Z6XfQT1GW0K50Y/8nMVdknpYVhxlIkTyETGM9pK9Wj5Kj5CCeZcOjC58ORm2ngVRGi
6ieJePCTuqUsIDiUE8VNgL8Dr3yLU8NwDm3amDd9U0Oh5BCdIgCZeDrS01Lb46sXRp+wdg98tdwz
QB/cO/RM+rTlHMpGf9AW3ueZXMeJGPc1w3kD16DByzuo5Vim9WzQE8KX5ICSY59JUzgPY5mFwFAH
gyyZ1x/dOOXSQWKr+6TT65qqTN6o2WiP2HPsfZPyMIUkLdINtSf5prQNdRfBT+G+p/FoxV2xq3mm
PFVzRcU1GYfApeXuFq/t9JRRmYBZ0rP9LC8xPXe5tZWVLR7dSW4nIlp+qxnuHQnm4prsA/c9BOoX
fabhcKTWYNuOZf1FY022V/iitxHXrQN9Id6rYxbzTag71RcLMhKM1C8x1tEp8dBaSXMYUvz3tdEd
aIuIL3HFYjYbY7K9JU0qE/6kX4iINBaG9g2RquRcCB73pGf0z7mcCZAkqWtQUjYSOfNnEAPnHH4u
7aRdNv0KQ01dFhS4hACroEPKaTlI1FR90l5m4O7tYMgDhd+rQiW3Ds2WO1oGvZ3s9Wy3pLK+GkJP
7MukLAI9tBy/6aYvHIOopXVzzdqkP+ha3W1mnYyT25OKQ83JLk2Pq3Ee1IVLJ7gnr7TwQhj5Iaw5
1tGvrV1tZnsWtyQCwbPRolDr3o2Mom5XVP3asRcl8r6iOdAMmlrTd3EjzpyJlEcYpH4ei4ZzlSzn
BDRDUwPbYnKSy1lSsrIz6T68d7XZ1N4owXDlaSSDvqfQlJpqVurWLy5ZFekQs9CfeUg1+0mhtkr0
MBLkeHMayloy72scXF3fkYld3jtrVA9ebktk/2G50jpxRY+2fc9lcj6l6CX4aLvs0rWJx22OthMC
UilCI8HtLvRVa5uPaHLRgYrDjiulF25Un55Nu3auORH6rd1ExcWJjJGag8hMXmt+4mIUAgWEe+Zy
3fbunPm1Bic552b9UGFNuPB9tQfuXrhe2mYe7zKcKYqsjeNeWUJnY1Q75WKAeLe0DcU2eruZ9DJ/
WHTHoIQdfPVbiS/4Ynbr4kUnH31tkkvBk01y2+eyWsBaiJyKJEBvOwGuuNDx4UcnS5A1LfufaNHQ
NbOwjl+I/uvntq5xjMaaJVjtcMXAbnPEvV5cj/C8Vw9scWWMjryD5WCZXMDI0AVpURZfdCbon9Eq
zzpeJt+GmHyI63rAvB0nyaqAQrMsRjSG8wo8H3gTjOqp3Iiq1pttuCj3kba3GPE5Q5iZXCmxZa3V
ho0Ni8Ejh1PVLfg0XPAo0WG759T6gO7YY6CFKx+7VrzPXaDDU0JyyYhujcb+1ehjdAjLShwnCAZB
Vogj67iDZSfXC/ZYf3TqYpOnUf+gqZaSR408fmjnWNo1auhyK9sDTjhyTygOvBBLQJNEWXE35C85
OXb5S5t5SZJIHAxn1ZwzLtyMyGtPoweboIpfvBY3IAzcx37F0pFlfiJcjhDbjmrXpj2ECoOmWYWk
bZBSKjRxMBN65RhGPkWI+mindImQ5VlQxH2pRe99hV9MYzSzO6Dc/SCdzYLfH5GblZ0kRL4tFOKf
jaMFJwiLF7McARdYA3/nWHaB4ynSH3m7o6uJ8qjpoxgJJg/xgTKWeEOo7GYZZHarzKIi+qgtV3z3
SECgUW549Oi+UnNL5TEkwFNKi999WLvZ3qLxIogaKnUbbWAFZSUUr4m6NHdL0WVcSsVMmgkR647C
BT0M8J/MZiC8AciHzPv24sxDmhAv5PV1ybXvMyJCeEit8WAJGT4PujG8dqQg0iCO8zXnBbDhPHVr
xchCOOQu19KC/pOo9p4RoKeP3ozCcweim1VdiIVXZfZrpOoh2vZUCWH6XBhwTpqp47SvI6gtjmnC
XQdA7PPg0F6wcOcPPcZm5YsWh9heZHl3YmHecwfFzcyRN9YvltU/mGwE9lrvPtIwaZ85YKhbS2r3
MOU0MNZQ9htHOVsKWWn37bwtIvj405jp6OJ2qrnX0WC6B2YsFgyxVpPPQpSDxA2LxcflOr7zzUqC
xK5ZRGMDR36DhDHRS4n7lBHOoJXllC4GmysXlcB3KVXaJkZbn6ndRmCgBFQ9R1QjvFW00O4TVuq0
mEgCYy4Xl5WNUOSTH6Zm9icN7X/Vt3+hvulU9LgGQ+V/J8E99ZC3P7L4o/z6XYj77Wf/UuP0PzR4
ZsCcVhFN+9bc/rJvILnRKwWRSJe6uzo0/tLiTB1fB9YmWHRU6qw2nv9n3nD/4P/A7QEeTVsNUP+W
e8ORf+fK6eiB0Gik5nCDxbL2d4NhOK+PNwc+QGoX+Z51EQ3VsDvEngYk+6OjtO5On1k9NXWmBVG2
UB6vZTO1LqZFE5+ypbrQEpCQBGMtFLLuBoz/xMZ9U47jEkiZ2ZvYaXCc9vX4GSdDf2Slw7Yw7SmE
D7ylBJo5uvZyFNDtssCViXbP+swkY98wifEB93PwFIe0HPgrnIEeu9QhpkO/DkWudfszasc5oPuH
eKdXrIq+p7s0WaN4EWXQt/NaDSbkQOWhAVbT6otk2/Wpi4BGSMqDCxHggxb7ODW9r3QVxn27mUEC
dKG1r+ZBe0B5T26y2iGLhAy/KUxSCT67UCoodJq3KXXuIAdLhkE6UavEj432Axgaf6iKcnJGLqZn
H4EwU0FsjfSQ2QPXVh5X1EnV1e3oWvUndRTNtZXh91icdxwbV9SAoVVCUV/m/DKO8rzY8x3BVboJ
reFWltmV4J3bUHra442ksd6J2iM57qnfVcLJcxIRRX1Vu9ymiEWFzmNv476FYQRbZ0MF551Rpefv
lrnaLawNdX3sxN3KHXZxMXuU2XvEkMg1GdUHVoqZMsoWBSmdeIwubn27EButWBUI5zG30uZEPqM7
TA6ubKSMHLwVR/dmxmSv+fRvE0AoJnkYu0Ye8mgYn+hqhpNTc6axzllG+E1Cv2jSFceKnc+Pjl75
gPY/g1oNNkz+UCr5onLHoEkdVA1XEFwrDq/INuTK+JU4ijoIPpWEIipZguvHjaRVdvnOVte5kRWB
gFzX0s+2rt64vMk3cIlyL4syu6fYeLzlCeQ8V2BH/Jo95qVMGnlJcyrtG92JN6ipl5C6nwtsCXqj
GlMcPKoUsARaxh1EGrLpU1IQeLEyPtF21rHTCYdrt4yzK2rjqP7LM2OilqTQLzMzDoVCeiqfe/oZ
jYDIAN2TTTI/UH84HQvV6bcGRnBrG9n1+IFPTJEdJfpGkWO6H7Olf1dFqC4hNSgHXGPmY6eRCPJd
VakbU6Tte04/BHW7KZTKACSC3Vx73M55PqhCtBtLx5SOdUhsM1O53Njgix9En037chH8mtJ21O3o
OAUYZ9GyZxK8FfBzZAx4FjyxX45mdV6iognMbixOMjXCrUg094bjAgBglhjJNUBMz3cXK79V/dJf
RsfTbpnK3ck3pA0gbanQRLK+Q2xr9OoH5svoRiPnk/sGzWy7sW26bTJJwuqmLpk0QNwOAXzpSueX
lumNsZjlVYiKdNu1atj24VRu+1zPNyADpoOUSoLEFaq+c2sV3qDbERYtqAEc634ivkkMb0eZIgtq
z8mTi5GGBlgnNnp63E1nDSbyXmMNcEHPUcgtefFu17mCA0MjlRkY81NNN5sX2FynHvW2MD51g2RC
qBoPE0rTPthlPW0SCzdZkoMfkonOd2tWRXZNhYu6cwd9uiOyT4uQC4A5qEmw0pnrbHXZH0SjtQcJ
2opLY6gdvMweT70UzS0dg8UtHn77uREghunMq34qs46ArkyVcQgXVzzIeTBuGGrtZ6othB3oYHnP
PbkFP6G15WwTOduQ0TF/McS7m0pX9TOar74R9dQ+JzGKUmZmSKk5iZatqc/OLoUQuIeIQCV9F6tg
XFC+EXLTEQ3AiB4sWYQ7PE09BW6umpkwSvMSFcmynwvQJq7Xu1uyLQvwk1Q/pu3gvZZrLwBNr8N9
47XhLf9IjVivQNMpvUCopOq+N8rm2nC64ZpNUfmJKDvuLN0o3g2KAd89tyhuB2fEyj+RtJuWDMRW
6vRbRmjTCVyBPg4DCAh9UxRWYLPDPJHpGU71aDUbNbjt0YJScls3UxWkWfLDaCeXTFx3qmP24ZKn
WhFW77W5NHS5DfI+ws0WFfTVurGMHps0H3+WnaY2TmtOpDXZLRGaZf7fAj8qSPWDpY7JNyi1E7Pp
RNjozPpSSwHEwdJSPPJVBCyTeHWoGeXBTvEPFvjFLPMVtfNkD4m40qvxULAo9mUSXU2ibQnmwVCa
McuRFG0OtKu0tNfqMOSnHPUNGFfCXML2Lj9lZg/fh/ek8OMU6jPtwAPhvT6l+AlHPP8telRu24lK
wbht3/GJcjIDUGoCl55ibtmarR5adjabAXfR1miUDdevGO9N0dLUCcHBO0x6PW8LLrnIR5Pnq/Qe
TYTPTTF0t1rH86wGk3UIPaP+hOFTnKaal6fkM/9YALfmE1tbV3FXmxv6GuqN3pXzWaebsjeX5eCM
07Ivwdy+6hPoMx5aCCgf8SS7gyrWeHApDsj1WEwonbSr8IgxtiK0Isz7zs6Gk5VW2oM1j0j7CE/T
TSxLghwAZwfyYgzEG5o39B0bL+pxyfT/mkLwh7pRtc98P5qLdOvhYAK64TEzVF9FX4wHwmbUnhr1
8tHGdubDSrqF6Nr6OeIr/MUifOANKHhNDbLWTda6Hy6Frlura+Jr6mVQv/KZgqFu0ve1tlS3EEm1
S5ckxasatXE7Uq6iBZoYR9rfjLRjDKVjlcNJ834VNA0HoRDeTmWZhRiCU2+FBqpkq7ulY+2dMomP
JTSte0khdrKNJ8atcpoGLRAdntu98MrqnvtFUl7lEQyAjShyHAkcA0F8BP+wuBtwAyllPtPUnpTX
5nc4EJOfBScOHBBrdQNNVN10ppM8gURNtynX3cDNdP2xk2O+m4xy6flnaR4Kdjc7MzUkufNEIxtN
7KNxjeSgFYmxHaSq7zulbqAR4DVDdpja7ghKqNoMEztEVwNOSP+MHiCpRkGLMPalkmn6pWqKEwg5
vUschhBpKI22raiifihyUPGH/rAgT8OhNNVFmi1NPbU2nlfe2aYKZxnILi6Ylnk8ddpgnqhafWQv
XJw7Q2VbYxDuJsQAsolZF1IC2EXw2OxyF7M1PadAMm5oCqLakiruB7J9iHO27mAFK50rh6K4Lxp2
zR3f0QjOyWLyNgzFY2JXzlViutGtVsTTviMbCxaiAFUR5/CCZASYreTRGaQGHXi21UM3NkbGQDpr
UQQZUI8tm4VPPR0n8qV1eFskLVB2VZG544giHJzalKUnAEPy0NxGDSbUMDeHhO0QJd9xAp9riyGD
Omw4p1VgJEpu41CDdNDDcuN2pQS2mMo6S7cdt3oLaqmguvQBnArlDLVmXw2Q0g6s6LI9vGL9uW8h
Y6CLmgcy2+qY5GF1K1VOGH5g4417hy6kV5ChBGxUVt9rptlvJiOJbvCOIWjLhdiBhHnGuekyHSSO
AdjBzU6JXrgHGfYDR0td/nLLDOmps/OnMSuLPQl6DTlCQvTNLPvoNbO1k2moHcux1mE9hB6Pmrkk
B7hk5iaBpn/ptP7O1jqyc7V2ybBsEZRpXyjE2GAijq/HWZCTVKiEgFWfWFlQKOy27SapGFpqR3ZB
jfXwVNtxv23DEl8S/FsYSF2FzW0oyOLzwQApV/S5utcym+S0tdibmeg8/wWTJL4OGPu3yfL2T2/E
//mtGMGw/rE+RFp/n9P+FkQRrruk9JPGh0kNMDRMGw1tpKdq8txkZ9gQEQG0iScquKdHlFLvFVdg
fWNQnXtGg2/eCA+nW2vkgk/hpxHt2THVj5PpETa3BYw6mSUb2tHEbYkQHX8XBiMA8Q5ogWdxlRCh
kbySGRKCS005BiHNQft6lNbWKrOz6ybiB/JktDHhUN6INO8OBauRoen0I2FfkHKNp78awyDPvW73
QYr1aUOyhy9tZtvXFmX0u9ymNXYDDXY5UqMn37mpR3u8talP8/lHNdq3Qz88WNxQ/Bk/38bzjHlj
L/F8Nw7lJUyy5ZKM5KCw4OPq0/TWwxQ8xrGzyye2GL4WtfaX0TeEm4UV9WtRK5fC7Sj06oUdOkJa
nbgZR2zsjBc8ZvMRxC1Upj4ynLuq6sabPxuxsWeFVyAejJ/2oCVfdbiMOHWF3OJ8M+4rECbwR4Ey
LqFjattqHp0zC2JxsA0gG126VPQguUOybOdKm36O3fTaYdralRTN76y2yHc2PtAduWXNd2rb9E2q
c69CZcNfg6fTS38ApeQP1dhtcdAlN0tW8oSOS4M+78KB3tNi0DCpzLnni+4dJ29SR6OyxuOybqz1
ZO5+1XHPVZBOvIkopLJFMHBfWNPlJQBcVxcVPXjcs8fvK3f+ff3G8CzOPIW5lKc1vF9eSGOnMctT
F67i+MZcb/Lm96Uei61+ogaTmz68/onzgfu/olTs4q0zQbZOB/k6J2AYN7AZsrO6oYpDZx/gdY/F
OmCshbd4UbmZcRitI4j5PY3g1S2ei3VEKb6nlXAdXFSLTaVwlBG41NST8B4asaX2qfO975EHFi7j
jy7bsj70jZwCfBI6Vh7b285WTUawzfjgequ/N7J1+VGXLAkBapQ+qKf+1pradD/ToYG1cp23lmZ5
qFETN7mo7wWsu0MteMFMnDT3xaBbQZVwU2ZbMAFe5ip8klPZnMeYIc2CRcK2NcUgSEmPDsuB9yGI
I01/Qea2AxY45q3nKvnc8B7MvraOjJTuTUH2PUdma7l5nPUoBQyZuEuodfuePJ3vKdRbB9JaZ5XT
rEPqsI6rg+5EF7ZEl3odZSl/521fx1v+yHXQZeRt1+E3X8dgZx2I3XU0tkXkvpVW8zZ1SNjOOkAP
6yi9rEM1TZjl3v2etJd16I7X8dtbB/H5eyYHd2mC4WVQH9eRvV+H92kd45FWmejbdbhnXyZ+LOvA
n3JIFyGbmH7EM+sP38oABbbj07DKBfYqHBj94P0LIr+1msx+N6HppPo8imaIt5KqwtzG//9bvLFj
h8+Q0Ij93LvWqcySY49bdgtPz9saBvd0Uk/2rWb1VKPoXmIEdjLAwSEm+AaPAZIS4KToa2ZVfipy
az4LV+9uXdS8Vy4G0DDc+gIbudsOmreAdTXVfUukemCtXme8p6lJe7Gcs4PWM3T6YQ9GYONEguZB
l33ztp/5q1groPqjCZPuWIYc8ZjKcohG60GWfZ9p6ff5tnyfddb3uYfhirLn9TD87x9B/9SM8ecT
iMv0GgYmi/a3PKjX4vfB3ODuC18+LK/ma/MhXpt7dd3dYcMub0T+L+oFrPUt+Ie3yDR1zaKQiF09
R6X8229UCCyF0yfhfoSb+glNM+mDlhaM62xKFiPgJl2f27npnYD6n/hTt5d+i0Eg+7XoJFB8KJHh
DgcWGUiDVeS0XUKTZ7hR1VKDLBaKl66vnUcHbHbmA35TOgsW6WbbPpvbw9RUDdmgdUNULtORmwzn
E3KK70j3fpgWdz9y/URsKNIdkOxmBz2iOa84hXdHpeGxU2F+xEbl7vs5F0/EBdrLwB72Li6oATZg
iS/nkQvxQ0wH6Yel4L1tcjWpTTol7bMVmev5VRj5y/fb+D8m6a+/6MdvhVt//eL/n8VYEp813+Lf
Ps7/FLHcV/8Qr/zPn/hToZf4Wz3HXnVwj+SI5/BB/EuhN/9wqD/gS802ACjG2o3zl0avU47DwUGK
UhpEbdgs/adGr1v0ZdGZo2kmcprnUGrwb/hl15vd79+C9Q/THPLXRJ2kjlr/jweVIeEC2blSW4gy
FQT9eNmFaW8Euo43WxTp9C/umqvi/8+/j1+IO1fj9fjbwZhH7KAJTqrtYnWkh63o17jUKfoV6Zvf
3oPbP/+d/3CrNVeCwN9+l+1qfMFIyiNdrQuX3w9hklSAfIiNbEmqZogsto0HKoqRigyjvsrCaLwa
cLHvc26bm6hpvS8nr9BrS+h2hWcNTNuCeI02U1pLvrEjCp55Ufti5alUGG8d+9pxIv00aEb3OSu+
9EGnS1bnKRcLLE4LwFZQUNVPEaIOOMy0j1RSIzdRi9Xo595qtdskN7qIROASbnoctD85givifwpz
l9vBxxwmEf+Ewsm2uZQk5MJ8ufUaqADAGLnAsk7FSITh7i6FaH9uqFQaDw1l3VQbxyAv/YEG3hfX
XWMHRtwQjUyiXGIkRKeG6sITYV8vJsVa1KCLhkyVigDm/Ad1Z7YcN5Jt2S/CNQAOx/AaczCCQQYn
kXqBSaLkmOGOGfj6XpHd95oqszrT6qXN+qUsM0sUAwjA3c85e6/tNZiqsIQ1v4ipJoW79Y+B4nlw
ht7dWkF1rmb/pSIkScOAFHB1lLWcUldWjxjXz1Pi0p2IySRQqX63SgBKoe1eM2+p9pUMzvNEfGwa
0SAxuqHRG1nNme5ssmYszNEfFCf99KigleDTo0oRym4dqGx3HHre06hH0Dd5pC2blIFNQErRNASX
jtMKCbscdxL88gKN2Fay1Q4xwRe5YsjUsIu41tNshg2nsHblO1OyZ/7lbQAfHumvIabTgl/fNOQO
OOpXlaXRSvYZ/wDvNKA2PrQF56mhuM0AkhZHrscvd/3S3gyhfR17CFg9ao21Q2AWSKD7siI2zvXV
9zHmUXfaItzQSNmno32t82YT3u5oLpJogyrtuXNAuJPI/EmY+dnJA/IBsoIshHJv6wkZ6aj0mur4
iiAVT1PpfGZ+uRO5bdZl3+2Fnf0iVinf5nHzLvkXsCgXIbJfCB7PZafuFGJkypX4FhxtnhWEF0sS
2zAPpyTO6YxZ56Ro0q2OSGoOp9CFShUbo86Z8EZ7k0HweTCdvKRW/V5BnMSgRP6xGIsTGQc//R4I
DicGf5eXfHkcq6dVpCKq5m6Mtj1ITeTTpDaneJlWvRde3DlRFxFP37HtfpkogLZIt9ACC+Tofmy9
xEKdgaTZa6b7MaDoG/88qEHCxtVq8hUiprze+437ntsRFxCTlBzz64ox/R6jUQVjT7fQFwGDu3oF
yXJYg8HOVhzirSOF9sDQhSB6vli2yzla03uZV1ZRtKu45EVFFLO8dFY7rOI2eBltrrQKyvNQ8T14
tkbyVtfb/7f75u/b5v9PqZO3rdK9IST+716UfZ8xCO9+H4L/z0/9zwbrBTAHPDZTgVH/Fkr8vzdY
P/wv0AE2As7/s8NyxvtvQ4r3X2y7kvF3wF7E2Jwf+m+Cgf1fjMxFyMkdLs0tlPI/2WBvx8jfNyE2
uQCrvxPB92CnD/6EuYncdPBbNoJtJ1njYNjP85cEJdA/HGf/vI/bEeEenJ39KPBdrutPv6ZFg5mN
qvK3PuaKr4NthbdADoULvMuHvSKdfP/bt/Bvtlfntnv+64WRAEYAX2jbcB6cG4Xi9901IuAdqRn4
18CZGOnqktEE8TZU/LwuotqU+KKfwx7QVRdzph3tiBB3fuprNQtnb5sou2v9RNw5hrQkmOXZXTQX
4z0h9svZmXJ9/w+f988nj9sdup20pJTkCv7lvJ+hjp7HCe9GHtfl58jEfE1Hlv/NoyraZBaryKgC
YiXSsP5s0M5/9lM4vs0q03vZ194vhWrptaqn7o4I6vrX338896/PCR/vZp9yPCF4Jnkef7+dJGbb
OsM4tO0dxhfp4rDO0+cVm6Adk9OMEpxcT0fXJ9I90CdYNiZFhcifzxweaMsHX9xZlQ8zBB3H0Uc7
sa6TciQcVcSNOCzMkH+At6KwALz4WNRu/b1XDma92einv7+Wv5RWt1uN9g7mPmlqSEn+dPAK04Vg
eWrtre6L5DzjLFmP0+SqDVrp5G5s0j5fl8KWW6tux0+iPOqYMUyFa7QqCR2daARee+zWH743EBPh
ONW5zC35PqFTbVt5HzQoI6ogHdZBYamHSvTDsasTmjkq+9AS+GMay/dIduICYn9dVfMDwsPhoGfw
GwB8/QtgCHMmUp7i2cVXTDMmdZg1ljC+EfIF254CGfXpKO5pViefoY8KcuX0Qp+kbzAvZCWK7oTV
6NSUsP3hultRt6mXKXv/+3v5l0Ms95K+j/RwxglHoPH51+dCB4jjZDvLrROLEq5OXu3qbLTPoUuq
mXB+Wdk4PfRzOrXrkmNneYDBMf5CE9N897Tp7o0agTyCNwiOI07mDdPe0V9VVeDQdRX6sU7q9jBg
t5mIzCnnz6gfHWwLcX2Kisl6p9+jzhr9B1NFDUVuVvZ0DvM+23W9b//Dg/MXuNAfFwtT6AaE4sj+
x///W9tEhzZN39tL0OZmuCjaPCRWAUk6apb1R2v2o52BGAPVrliujQnBOmiJMsgL0RmA/ghfcXvN
PxFs2/9h9CGfLKRg+UNl5dsc7f/1ayBfphwKORJ/g4VqzYn5VzLMR48O4SaYhn8okv7NWkBBhkKL
Gi9kEHZr1/92G2r2B7gjndxCvwrebfTrt7c4e/j7R+vfLIj/8lv+9JYW5Jr4LU1xxvJp+hP4V32e
+wq/tEfy6e7vf9efmy2320fPK7rtqAAe3D/dPh7JTGu6kNtKCvckrHL5XHzjn71G2E9g0Fl2aZHg
UBK2XT0SjtRs/v4D/JtbGnkB7R4KT+nxj3+6pdaIaSyRclt0wfDmjAZfWLwE/7ALu7e/5vdNUdKD
C20pAXPTxgv/EMT99s25LLnhXGT+dpDNk0bEwMlz3sOov06kiUfpw1SJtZjGz4ncsj4prIfFKWJU
SnUIsYRoi6jvMZrBLLj6WID2gUK7LKen1tXkbM5gEDQF3Mruwdp7SEABJCwNrXbzE9X/fxieKGkz
3HwsjIei27nqRqH77VoA6SCM8Ztga9h2gPGhJPBneNngOK1/+Hb+ctsiFIJsfOjRsQjL8E+PR7LE
LoklFGwoBKHZz5hCAnsZTqqpip3AUXngVv9Tk5aj4G3x/P3r8m20iQHHJVZWElr//HWNyN3dEhzB
FqTJC/VsvRWKFM8onsZ3YerSXzlT+0RS3BFe5gdIzmwXwAf8lkEBwbafnDj70GgNSZaL/cdWa3vD
4nYLGNf7oiPVr43Tj9htP2rQkSk15AorEpSOEkyVKToMeeN0ZITKmCJo7cfIJ6bJlBiDUyokRmkF
6EEbuWDjxPI+rPHaq8Y+a9cqdgG9mlUUw7kQuryS0xWtbqE0vEBPRGOvWfSPuRc+q6juHxb/m6eX
z8pe2odqKYEoSaneWxJ4HiyDJAoND/NdaG0r5mPlCsArTZHUr8h4NUX2MeNI2Uz0m5N1NLXDp1tE
zd5LPPgmZSe8jyl1w11kly9aD49NuO+5zjRTzo+YqfpWxiVVvKXKr6ArUnROhWx2gF5zELWRRgMt
S1RPTXnxTJY/OpMf4/vITIe0x2PPbXr3ZyuY2pZokncpCA8k6/kYryMHtvcywmrZxOxSX7HhjNuU
5k21yua1ZhCOIrredOaGKa36nvCZxSTzqRGJd42TwWA6w0PAEI2cn0OdVMseWNIBMWOPWmCevE03
u9GveURhP/YvdFp+Zpwu31IXv7YAQbaNwuFLmZg78tzaXUsT5j6mkfBmskxch7yR6At1XfJ3Fbdu
6xKtImGuZbS8TQoDBJ108od00+AwVrBHiSmj1Wx1wwNhlrgtl0I+YqSEl9vytfVNCDMjTtQveCwR
+Ne4Pdgm1FfaCs57RVrPlzEVe4x/NUH0NKAe67rUVyTpNFsmvEYwZVwzMyEc5tdCLd1VxHP/qt0s
WhurmV+sJNZ7OKP5xdJGHZapsZ5yDloXVD3JOrNdhJ2mJDl28fUFwGC/zWF0binnnW9W7DTH2q/l
xW3AFCV8e4clIycw6YvvzRDM37PbFQLvsfYI1h9t5e2X+oWW6Y0POD+YeL6PraCF/ZmNx9rJ6x9x
7CQvoD9Jjkd2wAEcShUePOfOQj226ToDsCSCpo1yUl4DMyYQg+plY+vZAZveMOm322lnQTa5K3UD
cFuGPxMjPyoQyFj4nZqkhcZNpy8I3WvMWCPYnhn4biLo7feMTI/04IiFatSXRrdfNMEiGXwAp2FS
4HRvKsz9Q0kCyT4Ckk4mDvpcKp/23JRMmQl+8A9Zo8nfs0K1lYIPRRe2evOayrpP+VQbjGn84bx6
YoWdDqY049HphL/lT6k9Xdlz3A4/hVSnop7w4mSRX60qW0zrLE34A5ZKngem89thGqwdQTIoJFtN
o6y2wmfRz9/bUNZPRTP6DxLhA40NXJ2eSIdjUcrHRdvi2icl34nb1xXSlBFlk9OOvFRdskuikVCy
SOAxqPU5YApEa4YgIDXTyiOEKHntoGnx30jasG3DBdamXc+S1VF67cwGYZA5O0n2re2r/jxAcLnQ
4Cyucq5HjL9WubWA8m0S9MvEpX2YBDSb8rNq41mMoToby/AQDZuJ/vPlJvojjmJyf4gx6yEsmWxj
osTepLkyj65VQh6LKe2AuJbem4gNbDsIBmS8AbpygvzB6uz+ScVowEiF6EWLnzZ7iYmj4Ip1fhX2
5KyLOXU/7WUqnvSQcdIPR/wsWesGDBQXYp7obT00LumalU6Wg5nEswP3X1aeC+EpHsCp9Shcdb+N
Gvd7NZhTQgwFzqDvhEsiqKoGbz9qZPCNZT/XdE3bZBruKwlrbuwhM6wktrr3bikdAlWIOvqqKM8G
Ik1L8sgycvRWemmQNhAJ4JaE77S5uvQLiaudy1gpGQXzqqBG3mSZpl8jY6wsrD+Vt/PBL+Eciu84
dpDgnmX5qRbW8Ii03OyQs5A9S7DMnfTb+snzzTXJnRkVd2R9S72m/rY0dr534gA+BNAGDCpeek7j
RrzzqelSo6GGjpEWe/Auyz7xdfItAhd8Z27kJvTg7VPjzij2YcodhrQncLPLKAdhlm5w7pZHLSCh
ubNEINLk9j0Zhf2uMyze5PlcG+dXntBHIOV0bl/CLiBPzkn0o4so6MlXeXjCBj2fggXpKSazeesV
XfylWqL5vS/oAUdu4TxNyhh6zh57YeJmew8h49fbEI3oz9bsBhMGt7xOG+IO5IBMKLbbBCs2IRqb
KRfqkc5Ohyyqr8+jmuWpG1p5jkUv0ToN9osLO+FapJ04IiYLz16k0FBFmbofSDHZ2m00XEyQferS
ZC9QOOx1iunzwCO6NX37PSwlUOiC8+IKVBarS5QkDjQ0zbl/Cfz52IKxRBV5p/sHeWNot371MBaY
fBQd4Q75rY82ug+De2H8+qlbUvkpU1O+Bzckq2V5b3PsyU2dkFIDu2nYy3EAQI9kOtszFwVV5fnl
XZeTZRwJr9l5gXWTOGXAJ8AgPFsSpz8H0yIadsACk6Mhw2Nnz9iLC8fUm8UrefDjrrH0ZkIqeMzU
gK03tL+EXhc8hvz8iuGFda2irLhfUvPptxgm7LxBGgjGoHqumv5iIfgKWu9XFTZ32D/Uo8wjfzPN
A3z1McmOg+A+K6iBZJ7N44p21H2r9HYgBI2DWrwDFj6SBeHMfyhtoofRifqHrmvVKyWm72DAZLAK
TwGKetAOzcUTUfwWNIHzVJadfaPv6zuBW/9+mqb2s4VJUK4GkyQvY8WHsWxP/hSTHZHHB0EmT9Ns
6yb8nBOH1qYhKsBZpRz6drG8TdxZF+ZvROMG53JoSc5TokYKGwXVk66CCr1PNvxkCOv3qww9x0mB
1tq3BPQQHuOkziukE3j/QL4QT0v264H2D4MZP7b33qg9tsrexC+ednq+fAK/Vu1Yqv1shCw4Zxpf
E/5E4z5t3eKtltH0DqChUPS6Mc+RH0mffAvqPMHWW2fRJU/yYefm1rgRFEMAGGNLfijDFhTouPjw
3T7YR9IC05eTeLkaxzK6j0gF5MPbeJw5z5DqNWhSxXHQWMvDlN/Sh7um1Q96Ttr7bMie8A5/B5D6
pS89nB/J7N41KlaHvl/ee8DB63ZB6I/WqTn0Yqm3bklGSXjbbmwkApxum8XcWkQAj0vfbDSpe2dX
NBiEIYPvAtLv7kqmUYDBy3g6Dsm4i/EyZmURgRJp05WDP5F8i7nKTjAz9RsJeac+/iQJ6Skc3Zcm
HL45kPsRgn3FV/GeuB4qRZwtVzPY4aG1q2DtkaR+LoYw7zZFnZYb9OwI+2uSSC+kxzaQQEhBLwur
d2hFoWzLQlndR7Lpnq02zzcOtMOWCYTbX/IqVShEfSm/EQODNI2P0D+aWKprEU3P8VSKA87K6mNa
kB6smtFG8GoTkTxkcfeM9Nvs56nGfqp1cCCiSZGBw7b32fcA2jTR7aSOkrsSV0LveZNDgzK8xoCb
jYeBedZHVcP9ahzSmhHSYbNS0Z2ocn31cxouNw2K2QxtqglErdD/N6RdUKsMArYtVpG1T0jR52Sn
3Qx73U9/8TPVtgAJqTdABH02Vr9JvPWytNYdgWrZlvN/SwZtRMSOR6t127gRIxSSoeQq9etgh7E7
IIzFRttP5oVY43WydlUbhc9EFFAwBDQNX7HDQpHuAvtEi6LeNyHE6w61DsmK5CZ68XJFu7ceyJL4
7Gg67ibR2d94h93tLMb4kPfh8mgNNhGABDhwDIaJeBQYTe/thEjxlT0heCoSEz80HD62ZExhs3WK
et/H8F5Txu8nZPKvxWDfuWVbf196le7txCTPHqLX50UKpG26m69pyXLaAjO9ohq0vyayiJ5gx7v3
bmAzv8LR++O2FH4tVZ0892NJeiWHXGzUGWnl5OxGr6RHdS9Bjod503fpDxaW4pIM4/Q62nMKLy3I
651j2urrSLYN15Dkh0SFC1HPqbo4izLXgWDYOwAV4qgVcGJ0r+QcWK76kuo+hiWgkJ9ChDiNUPdP
JQe2LyXMYEiffVTsOfNoAEMDrNqwnEDKD6Dsb12G9IHO4PCWe3QGJzx0dzXhGxG8nrG94tkIaKcs
zXyoOK+d/KLzf46OcREnZlV6FTyqVxNmc5WsrNF1jzKgPk4KqslD3tCUXd0UYjswDtUhqcbsS9uW
zYfJPNvZCpvBwao2i42lWI3Za4+6YuOGs7P1MBphMipLCptQlfbZJENysXy72jqy1iRCNPhHhKMp
A5PmkW0y2zUCsTJviVEQl8KZeIyqerVIN8dlHMqN0WTqLKbqLnkwXYM4DHj4B6LiNZdgrXSIcph/
9fz1yOy/2eZziAAgsgyzDiB68smC5LoJsKkx93Zzb23AYrw6nUPDFBGjwVyfmh+Eu03bYRncB4ew
EMp7DjyXGKTKN5nERKRKq2q2MfrVYV1XSHae0C50+8LALN5Yy9ybU+0RV9Ko+YkLpYWuG0SAI5aH
PZv6vJ8CvzzkwrLFWxnH7S9y8wpKazqH1Z2L1gmXV0/wzCkC/eyiH3WCeQOUuIG0i8DberCl34Un
fDmk+0xSvvflVB6AKoinYhHRIbVSLOTlUHcQiHyTYdBbpA631Jlo2M1oWAqWhbydOE+jZEeuld50
9cDhNkArvcUQNbtn2nukIvupZFAV1tmykqPBd4/TgjTMqH2FlIrq0ILVM5qAOs0Kp1+LjpaSNrA3
3sHXLb9LR9/4OAVb5MwOq1CIDuJcBuXyxa289ldCH+jeXqT1yaWbjz4eW7kKY93dsRWyDPDdeNV2
7tFiXGSo5ktb+yForH5BFysH+0w3TLGekwpDgqQgv9rEtX5Ih8i+1IRXfqW0pFwMRhN+J8IQkyH6
1+qLAa9NHLAYT1mXhPjniRQyiER9/dHe9MgF4rF3Rkq8V0ORUuil9fMtUeccN1LlOysU3wviVcVI
6oHXkZOt6Wfus2G5y3MS02FQ4x/ARqee0jkoXqYeM6awtTqRzuw8oJIAvYoHqkHBi4d/N2ObAGlu
3K220gb/Eh6ULwJm1SFj+3rDzQFVKQwTn/Cd0WnvmiXLv9Ucl7YEvHcHXlUF06V3HnWbWcQ45x1R
ERMJ99a6m7q4Wk/THLcbGZDT4xFjdw9jjcKAavi7K80tzghxuDtMP1tn+Nm0UEkpAch8TJ2jcKDZ
hbXwdt7IEorqs39rtFJ3YaSjcwYO5OcQlEScYVOdL3S22BlKDtZw0d2gJ07eoQ3aEEiM08f6iccR
9z6ztV+tK8f2x+1XANbyxy56mhIvkVufnA8kCENKae8zzkT6KmZvpck4WnsxF1fPMSX48iYbYsPX
+TJ+TwETEMgQQjICCPo4JJ28B02KeBqMzwb6AmF4EeTQ04CP+NiMXrfi7fiw+Vt8YoyRlVCY5PgL
5qm4LRFkWs+Qrnr6cGoP7xxIWjiCEw3Ee8ul34Vswyv6i92RGRfRuFUp3tid1h5S74VohVleLGca
15xloMkUebgxznKfwIg/RVBeoHob/TmjRN/C08NNoql1LfJ+18KMCGKRwQRko/W8B5Yjjy1HWrWC
keKOq+6mOiR6bkJQsVj72m6hADUA2VaqdzUZKVa1s70mONaBq2yk58p51micf9DKyKLNmIWAAnFC
HRenfSrjJnl0XPqCkdViXPN7cR/H/brLeA5J1sabFob1fOAbRxAOyZChK4LkVZ9Ep3qI3kdLBG9g
WH08dY1eAxV2aM2WE0L8Xt0R7iXuw6EneIrjyvvg+NmpBLu25nCgt+40jOt0AMnuRdF4P+H+8Ogl
WPM2EgnTuor66hrMVMUAGIZTE0TpD9UsbMBFDOdZMkbLU1W9Yi3MX5TqlyfLUsEb8/qakiiNS7IL
e4JTQ2XX68LPHIGcpwvfwlvgi9CF+0wUc0Q9m8Ku8Dp9dBas21qQNtqMTba+gZyqNZFwwEi8WwTx
yFlyzzYN0CZFX7QGcRYnmyjBeeaj6//KMgp2zLdIy9hF9cjRngCa7sgUOlzWc2t0uYMk3z91kJIP
Bcd7Emdoj4yUXRhjVpEcrWtazNnF1HV8Fxq8RUndFJtxlP558kiVHXOn2oXm5hHCKHA/tYW/aeJM
P8LzfiSGVbxikltVjfs1rf1vUQEtCefRlK448RnIH4A7NlXjr9Gg3vt9LA9KJfYTUXOAfEhkvyPZ
vbhP2/ylSiKc6cWQ/DLERjwHjee99IQ3HsF+LVvLDM+ExGHRiv3xCTiRfegLmV8mdlJsLRXe4Kx/
iq1FPftLWe7bDqmRW9JlpqEr7sfKg/Dj626Hi6ZaMQz5wIZpn2xVWPspLo9D0QT7HuTHBtrxr45q
5XOGgyO0Na37uW/Wk0QYN9xIwakuj7ZbF1sDznBPYjy9oRjEDE+4UNtFLMkLNL7dwjxWwGQ8Osy6
tvbc/vDAnZ/UOIqHsO9gyzUkWWp8asTN0X8CfmL3uzq3LbPSnRtuXflgpKEU63JN5pZs+10GqATo
MaNlvbVNcQob1CLa2kZZdRkIFv4gt+CzDy21763JOc4VQMMuLPxrbzfruvXP7oLBV1Pf1Z3yTo0h
x4kDL7ODcl8n2bW2pP0dTPPI0kQ57I7lRDt/mE80wF7zCNCHtoM1gwfcXHAs1dDrI97/k6oyj1pi
Kj6R1kNiEM3XZVFnx6GqWKm0rtXKcRVOe022owwsudOSEmiR6TFw55YAp8iUJCpVTLI4egSEbk35
ulkokP1iDiAQymobOmVGk5JyQjrR9LUKIx8EFGG6ovYp2rGYYqlpNzYuxAHal/xel5X3TP4oCagq
cZNmNVqgGL056w4FQRxkNHh1cietNPf3wJ/kRzM4lvoW8x94PRtNGqiInBfhBZC+xoFuWz4P25z3
Fr638bdLGM7RjgEFrYwGfGlsefGz0QIQWB/V0T4I3WMksV2GcOOMxAC3wvY1zocBoMO3OIjZFYOM
R6pJnTp7sUgRZOToIPf7ptKYhdiBhbu2DXzTk48bPYJ+4cMLjaIsv0YqkOLIOBsJ4NwzH2FAm50L
CfJiyScSAIxLTxTx+qpX7Ic+htzbehpBWMub9Ckbh/y57zxWW9YNItMy8lhXIxQGdCCpH3xoGOTf
5tpF5x8AsG+8qC9XeDMJkqSuQ8M+FbsFqh+WndkBjiHZ7gER0I1I1UC1CAfKuoZW806jGN63OzaM
MLvgLvAlPXyoPEBvwCsuhIHYNbA+bR6wbRIwrr8ldtHwQccHyf6u6gqqgDq1WWc9e844kyWiKnWV
HEjueeKSj9hk2EQWsxpbZZ+DGQyenPqNml19KAaTMl2aMS5kxBGV0ddBDU/STO/IFScUgDHHjGwR
5jhBA1Kh6vaAV+tLJOBQ+w0PepnSbFSohBHZOP0Te3fFDpnTJcsKXW4pA6hUO8ub1KpYhvLnMshi
3XiiJRIWWyygwBV2R2omb7BRmfhMpXTUjgRtVt2r6vUCukHQpC7AJGQIGOwiv2+FRSTtFDgbGB40
Kdo6jt+pF0p7iyrNbIJcLMehFt3X1Mnact3483RautZW6wFkLAfflLGwIXnUKnvFkpcQm1XD2VPR
YbadfmNT6risP2V9sYtKPhuITBy06J+mNmQ56H0frbJuaXqsuDcj0X1ay2bjxtPyPgdUbeWaURad
DZyL6YPfYCMeHXFVi0P4eNuJ+Stxa/mh53R870Wd/z6bBZiUYazHkWiR6zqbQYxMhWUDbsKvSkJN
YEEqaVX8IGgN/aA2pQpZsviSDqqiUcH9405aSeBsY+ngzYybdNM2pHTO7nosHfvkRRbzgnbIX8uO
HNlejztZjm9dWxruoHplgLzXUHAOBbOkbb807dqeIYVtZCPpcWfWg1CMFFlX0teuDgg0CDWVycCD
hlLUbn5VS3rRJrhhqWZILA0ZWwVwq3xky6aRvyYBhg48URmJK4ZNi9KmX3muVrtoLl1qfNQw/gZk
2He3d6VG1KjHQ0n9+W5XEb1V3zPEpbjmE/yXjQ7K5QEZU6KIV6WJhudCOtiwCBjKDzl+OJprS3AO
krAkIt6HJAUqeYjWtgfEGL8TIt7KV9fE5JcuQP/dDjq9Y3LCyAGj4WFqoqLcNHZ/g2OW4/K0TGl1
QHg2tmTrhO4B/CNYxaruGSfAYn3PWBV/4PJxCBpz3GeiiQb6xJNOT3LxWMJkMDx2eGFXgxtTyNWu
dcJgpymZTO0dG/KCqrUvx/wyco65G+ZYdYzQILKS6jLN7Wopal72znY9WHjc8rXl9m95C+If32m4
JTqj2Y+hk3Gsc49+oNkGx0TuJe5xEor9zr2ngsMYi/kXM6QxyxX2Ypul1s8aBhiOZdi1+e3EOy5u
+oRer76IaOiRSRfZY7Ys/oFXSTxCElvevMQNtgDn5AY+d0W9J3Hvk8WNr7MGOZdlrFuVm5/ROXkc
ywbOzrEZT6y40xrKc7jrWaX3Pirs1Vw3t8mYiZ0vBe2GO0yd/UbnUYL9WPhPPTg20IG1/OHgTCYO
e6nZPPJsEqAPpLVKxltKetKPG3pIYmODwluRs9C9N2kinx2ez2uiHR4lJTr6Dkv9JJFqQfwi0JOd
B3IriywNqsE72hAS6abkc7oJc0nmUwmFv2/97ouJWetqWzDQJ1AkCMhazrji0uqTgchEcERaBV0L
+jL54aGj/ZAAXh9mF84c40RyYBEqrupMkLQYkEnl2srnThWgLSoxnxIrZMtRmGdpENcm/GaNuJ/D
+acaAnEvI/HIA0W3nm7Suiy67DGxnLLf9MQVUDl4STldooXRNei4se33NYtnsk6adjjwWBuOj4KW
6YiN9uhkqXoNjN3Ot41osDd1VMwTdLggQDJATkA1ONjJg7L54aoR70L1FAeiezBWSSSiPQVroDRD
swZXgnwmwfZ1VTSLnnm60i95pZ330RXgA4NWbZUl1S6u4+UB21axNsCkGaDOA2NnOD/vqC6713xx
aUyFJazwbHHCY9K4YIkgVvyMFMgDHdv5FufV/Gwio8/E2BJYRnD51g+a9q6abE09ag8u4xfnjyq5
X08CH6eVUX25qiju5Kxu3uYI6yJ7CECiIpx3rTcsFxot3XFJcutbrpT/JloO2hVF0qG1kpY+bJDs
pzRLd07nbwt36j8t/CLHdHRJhwhcgoLXiZOeYSlOjzyRBUdqr/mAV5j9IDCSXnqilucgcAf4ktQ7
Gus5YWGFtaFrDFqDAFuSteXwMkMO7dcMN0KQXUPXPjtT2WIdrY282CGZX93sAKyTFggdYt/Sg0kT
JuhLbj/OIsHyafmlc4icpNhqv0Oj4sDiCqIseIkH4V4SXXMQgVlz1xTuyPvMq6dVyxAzXIrXpCmR
kFhIqJa2vrdq6zWorJ8CaedLqS3zVPdevLPqKb2dapH/eylJ1lYzPMy9Cl5AbA1P0AZxtWfXkVbr
zgXL/Z7XfvsoHTG9W0QxbzOEKCdRp+EaD03/zrLy7ueFuJ+t2/ngxtsRuQczqmjtPabU8lFBRF3H
csg/ByikO0Oo3LopyVVyGRXcxQisDtSGKVwR7XYk+gQQB4qgNfuhCZePEgMSpPB5cX+UwuI81moy
ZwvOyacslWpT4RbD2VOVm9YHvK00oG2MPkgjKlD1g1D6WGqfvo/f7RsRAKQZ4xoKv+O8y6ioWWv5
VDia0tK50mxNT8MCiZaebcbfGky7Wtv5UfWFeNQBgKQSa9rGSqrwhJUQUWz1C8vHzp/YMwrgnHuO
0VFD6hbQkDhLyGqFvHgwPl1jP1QfWFg/USn9xDIdYrwKdmns7KYAiZoBBL3XhlxpP6+BkNxwsyA1
yhvzNJ+9Df7Fs2rUeSTBZOpZdqYl2EwFgyELUBxz42TLK7vuHW8zpIHzv9g7s93IsXQ7v4ofwEyQ
m+QmaRi+iFmKkBQKTSndECplivO4OW0+vT8qq7uryqfPcQM2DAPnrgutzJRCHPa//rW+dZUPNc3a
1gHH0Nozh/igKdhZuwSXV/QecAocJxZZPqWtdQG4JhLGYTab69x2QPHqk9OgfmtLshHirzwof0p3
ThfhR67nhGGy79M3j4btneFF6Q34uOwBmL58dEsmxmomIiSLytr/17kyOTeyut/CeI3ejTh2bhiB
TTARUbYvVaKevvyM/6eTlvuf1e178VP99z8lK//Hn/9T/frv6Gf1/zJoybxI8tfGovfPwyC379F7
/lck4t//3K84SOB+E4Kopefg7BPyK9nxKw4S2N8IiEictbZJoyRJkX/EQeS3QOALZa78lcXEP/q3
OIhLiIQyBF8Km7wD3+O/Egche/hnzyHuUHL2+OOJJYIw8sRfEpd0wglz0GlxpRNcC6X3znqbot0E
B1zsaNoH8x6DnlE8VXUmNzCHjH1jTvn75LjeTeorazUpf09hc7mK6/Fc2ugANLk9EWcGT8i6GSRC
4iVrDUh3JHjPZshlumNxuhnx4z8oXh3rNID65MfOazoocmXyBgABcrAL4YdCS9Ly4T0qA7ll7CYm
obIVy1Y6AUN/10LNYvvingpby3foY9DXs2CrKiGxsAXzDcz3gvcs+0O4RNAXIQ7BwBl3I8dUjH3+
jrkW5SDv2dUiDKSriWx6H7W8YYLxvomdA7/BHyOUn7EuTgXteVqJS1K4xwqldA2la91X4tO1kuka
0xo7hBZBbI8G8JDw2d6xpq12w2zULESSp8lk5jXGU+/yYQZdbZ9S4E3rxM5uUe/2DdY1YEHNje3i
u4V6VtAV133UQs+34bMKbAa0hn1y3CwGqTi/1Ub3LF0WJ01PYQApxMJp1rCSPjvezZuAXRM2/s3k
Y7HX6SNz3VVcF2LTemO0GTgymw7FY8acHgzd3xvCHbaRUtMTwA4XYnxBYkJAd0MC1jWWECA9kKQr
zF6QYi6xPZBvQzJhgQEYibT8Oq0K5w6ySbrKXdxwOkS+0BHTlt854TrHaXslIN8/sgm/2FnjxEgQ
Ts+OPNZUHWDlWinV1fvOSKO7Sd4EhftElrDbz6ksz2NrIPYPww1n4bs4neBFy5co17c58PZ110+s
J8idR2CW0OY44EYvYzS2xynZaldj7enVLeiqz6x8QNCqN1j7bc5oNaIGPYXbjl3eNHB4aEAqBSwC
mEAhWYvmVrOEydxxYRhgCPD9XdXoq0nRUFM8i7yecDMUxmaSy7+dXjW8J1s6wJ+okGCtrgd3NaFv
qYVaQijCH609GN1V6VrvqP3JcbaCzzwNbuxsJs8HZDBsznbHOxSjV5WJSzvH1uvQsqhaJRU1CD1L
aex3u5JJgL9Xe/j/ixbndgzCwRpn/JYcY/YInu5H7TT9sWszWAJkNuSZ7R0Gk1DxEncAd7mocjRZ
ltHRsAKfru62v8rpm3xBXeR47fcqOaFmmVdxGrUH7bXRo/LYo3Gpqiub8vhXnalqrZuxOseSym7P
K/O3TIcwExxo3bmZZWtZl/IYyyo41kEid5aEFddRgHPVG/N0UwxO8TjT2Pjo13QMpGZdPBWt5rwy
CJaSbR2QxgsHjwXDUgY7BouYB+IwG/zx3upL+9a15v4ak571aoGx3HpRNe2mCsGuyWUGXCdw7+BQ
xj+JiPLaVYVusUBlrEqrgU997sfkJsVPeXJpvjzmITyhdTUM5tlnk3AZ7aG5tUJhkfip4ifNL+um
wVBx4lLxwKCQfCmcilMxCyA6IIva21u5yG8pnoo2cccyPs1jszz84S3zb4TdfuXg/+EUB6/LMoQM
zhJskvQlf/Er/mCGzzKipLaaoys/ivLbGnfccJWqQd02dllu+tCcsHSOnJkFEgyVEXRo4N3dupMR
bZ2uf5KDMnY0mOGy8FJknw4L6gYNzNxJmirWsZNErx0FthPXXOSe8V7DVjSLW+LkzKFNMJ9ruay1
Qj+/0dFyTm/iJ8rX2AcT7T+oaSjWg8WiM9buY9uCYOsxGtzJPvLTzaj78LEeib9i6UGuIfjGtnsT
gyINEILjAIMHpxwsjDhrCKNTyLo34aCmBKid6tWw4oYl6BBVW3e2yicbZeKVbMM1zqJ5ZwjSfd5y
juso27XlpgbFt24w7OEmox8yKcqTwSB30IWFLtDbF/pBTnHdPoSt56/ryuxW9BciYCTTei5DMJEW
iWHOwAB+RwQ6K4alNjvDMWyrk5dw+yeJdncYE3YjjSHrtIcFzx4IivAoo494cEcGIhp9jWhpdUKU
pDkizXjGcNL34iy91OSZNoC+C1yUIzanEHRaPzMHM5RJ8zTWS0q9T9UpcY3gpnfN+AnVRpyiRDa3
GfHCS2VJ8xxntrCgoQzdkd/1dCprmdyQfAtuLGlzvftjrH7QxjU4DKR2/LPImWkm+Ek7ImgUSS33
jL/cPSzq4ZMtd1Su/P46Dim9Y5073ddNQkzNhAWHbjbc1iOvylK26r3RyGkQ1h21y5Y7GGQjfSHL
XR16Wfk4LHc6Snp0VQ/2uGuW5wC2m+CoMcwfa6dit9mUy3XQ+A/+8gxJlqfJvDxXaNuo1s7yrHGX
p063PH/ozY0esfS0h8CoKRrzmSDLSPLImrq2eGF+6a/SjCB93Y1YlrseGmon/fc0F/pYh0Z9jafS
O8dYTrp1wFcfOYDID5KzDKvQNXcoWPLMVxt3fYPEYFXa2SZI1Sb6N6GktRm2hMrVHHBCyUjsqh3L
9txaCddLxx3bOTCITT1JiisiG0NKgbgw3JZe6q9Nt8EgN1OXMm9EMLnBwRqDML0uZxXVL9A3Whb4
blaDDSvtrDtUUTtEJ5GbkBCAwjjtqu9YOm4p0MSB2Da4a4F9GeD+mHI0aCc9YYEuZnfmfe26LJbA
NxUZt0FK9UzT2Ujcg7jxo8mlGNezdktt27ZNHeui5tbNYO+GhblvYPflW6O1/HEdplWwwicc/mYP
slmqxJfyFOx8sbFFd+UEtHRl5lgUBvP7nOcJ+kBcWjxbkPMCLjGrsU6QkMSFPjo+l7LB1EJrLZXp
I75UKkyBoB7o+zF3qdc9dcNJIpNvo9C8wfFa3zjgm1aiM8I1Z1QkrpaVpukxk1qhDtgbR9MGIjEy
i4MNxhzSN1SvEafy+GGVlFb6rb32Ay3OodmMt1XHPYqI+Vvi/YZTMLjWgjWS9LTYkGQYT3bFYoSw
P9u26h4g7CWtvICRzz/T3RIe4sKj6K1oiRowpx474PaHvAqLNavDa2yYlyrDCiMTyz7hc8BXMdcf
OdGW5XcUYQECBNnG45nX+RMSQ/LpOiCRVT8PrNGr+Zhm1A5POB6e2aLqTWo1+jOoLK5BUKQUkqi2
M5HpggRoxv+VCe4m+WiJ3n12f57ZvpAvf0fl/P+U+f8bwp6I4D8f9K4poPyn8Hv+5K9Rz/e+Ba7v
oJ8GAfGXBYXze/L/VxWl45ClRmb8A/xeMB36BLICmDA+2ACXefNvg571LWC8CxgNufJdKf+l3L9n
/S/hMjQpXMYQaPgeXblMtn/Mz5lUtNO2o+d9YTlw4HMI8yVGS3aAWOfdHj3fDeUL3CszZ9khE/BS
KvOhpuiWkJNSwinZtLEbH80xsHFEdu6uy43ixp/6bkc7VncBXEEsxKrGdeoWBIxqnSeHmEjHkW+o
oPCwGg9j0MvxRruUvp1kZbbHmrVbQiykj0gkSTtOAMimXowjwqNuL42r/MJ5k6rFudDUsGLfssV2
alhk7Csvnun0SWmnZvUITHgp5fUPZkCW4QBeJL0MvdscsIR6mF+n8rtLXj5Y96HV/+CHA0HiK9rV
ZWT3j1BlgHBgKCL/yI4n3JPQ9NK1MRIHX40MnjvXkUOEd6/xqh2Rcqdi7xImt0lnEfnNYsD3m8ir
Z9yZGVgUEOQTXF0K8ULvkHKCMw8OPsRyS+sf9TPsHGmDxsZtvFXUHPF8JfRxqsIqfW/A9Z6YyvG7
t1XlURqCb3Pe+LnmRFPYXisJKLTUOlfYtagIqfrXXGQjBMG+q36K2aBHEve8sYZFWaOsJhr3CccT
8kKBotiapSpU9nrKaPAR49mYDXA9dlt82EXMDiCjAjnfcqY3vqvG0caG/TNCp4NUdmZCBGEs6DhD
fFUAsoGVUO5Y2fmAi6kzu3btEMiq1ksM7FPWZrCw+a38ldOMHe56g7Pzr2JpBAZeExy72NWmXsbz
rw+N4GjhX99ZdTlsRKuac62N+hwPiAN2VzWXOPXN22biGITMnRbjJif6umXFUL+bqptuefbTnqwb
1nRwz0D0tJ3YQqAgfjFRFKUSn5l/prlq31FzuqtcS+/iKCN1pYl8mVEZ8BbK1PNUV8mLE6RIwPbM
C9A3ff873L75waqm6cxRAxd1x7CYWcF4l1pg1PKM8Aib5eyGJmVaS/m76JfAIxBarLyZan3WLKUJ
F5lvaZzpv9Is4W8MHutLC3Z4bVlddRBFHOxKW5Z7DnnFc2s5NT4p+0naTrEypeDMEeCrH46g+bjy
qYDQ2AXG7BIMbOiTBTY09qa/SfxEHZuwNTchrOynmtK6tez76druiC/F3jysG8BGeiV1G6ytwuHz
z0QYnS2mqXtbDP4Ga9cE59Kz94Ty6KyJ8cV9+jjL7tk/CHr6XOthjsb52cCedci9xZ8wpo1HCeVU
l885iM4XBwPwc8Yy8rOP2/TZw+tFkrw/OKyd7lITTOtaZZ08a1E0rw2m5vuycKx3zkMUcoIICB5E
Atq5jPPEpLAJZugq4JlCVWpqp1vMfbDWbSnexznFCV4bynkSgl5DZ8gz+riH4reJTpk7DgDyLYWR
uY0LN0T4kGq42L4XHnSN/w+BJv/hqRAnQdWYAm+I4eq71CtRMAIzrT9FQoxyuRAe7dmbP2NvHOuN
P5r50wys914X09mriNEx53dFu/Zca+TnxEbEAtS3Xm0bPieGn6l0N0Geh5CQ0MM1z4hLSA/CzyLO
mJsggesX2B95t1I8mg+2XErBwVnZn1lbcZhD/WHeV5kgERqUFr2WqDQsYtzo0hZR+S5bh7sfdy0W
F7/OzyaLTIEBoGzx2fvTyRVRZ62jeTGm1x3rIs7ArJcxAQsfzikVE8OqhTC4A6zJDOTA5bgGj87K
pc1hiG5Kq58xs/gutZk67hf8Y84QnXGT1JLc3NrvhLpEIidvXE0E8jBYqocUCPtWSlwP0FHl0ZZ5
eIlyalmBUGfXRIDDN2NUDwwN0yn96nGtTZ3ecxyn3bVail4HNQuwIXbUXwF1ImNuGbTekbGxTzLz
u5ucGkfCFUt9bOZSJIuwCtI0nZd+WSrX5vtRqmg8iKTrHkIzyR9jEoBvIqWedhgi74jvwcRmkI7X
CWTGUy6G4jrJ+iJas5Wst9lSeFuUGitNxVgIldRoucmWbly4cYmxpdlB0kuaNKSCRhk0nFkp1ZVL
vW7UULQrukFea4a69wnj7bsBt3rfBEvP7WhT02t1nYdekYjHwUp8OHQgYfwm9tGS2vqDfMr4HtQp
RN/IdlGFsq9C4HkY24PEik9c4asy2Co/Q1W1NBhz2kDgZJcygEXVGwGB4orOiOqUjnQQV0sb8aCX
YmJv6Sju8BNexUtvsfFVYdyaPjV8yVe1sV8H1GnEPF5WDeQWyo/HYXw3viqRY1wGl3jpSba/KpOt
r/rkyneoUh4Lj8KKpV+57LEqtYhrvNlb1d6XlUcpraoIC2GwoqA5U7zqSmzRvLyWBme0x4iZmFbn
2MUcvXLw6fzwCohlK5b0I3sd206OiAYUQwtstE/Sy5Nn3tmQutqvEmkvoE8a77p7zGlW2weoJ09B
jCkQJC6DGyZv6qgz0S+egaWkOhlU+ciuk1xM09FiPTekrI4xUKAXVlBy2kxue5UoSZyJCGN1PSjA
l1g2xGWi1fbaCeJsFyp6s62lQXsml3KeS9XfWQEP3ZXhdd0L9YDgOdjvv5gjpLN86eRWs59jBvLL
SxA2zslrbbCcWir50okWL0c3osCt3MhxQ5okavDqS/d3HjbZS7X0gXNgoxo8BGHcrBoV5KdA9/5r
MCe0iCfyu+nk9Z4yxGkDrYTLeWkdD9raecQ3mF3FXxVagV1Tp1V6ynti5KVkq176tkD+569lZI7P
4quOKxU0cwVLR1fczaa5YtM8HQReqGsM4/2VXnq9REdoLwyNXdLboKCNlF40CmaGN03eMsVkQFIh
p23w1ScJTWlYT39YuzSJ2b9KxSz6xUKXprGeyrGWg9HWXFrILFu9l0ntH8al1bxfusqszn9kKYE/
A5eKtfSZtU7e7geSlNHKG0jtzengmvvJUBQ5VnmUPyRcJi/NZCLTUKJySEZjKLaI4slFfBWq9V/l
ahWmh2hb2sL5HqhO/1ZjqEuwVCSg28ac1mBeP6HqD7Oqw5iibw46+DnBp/NrxlaFg478W1/nr0kj
Rz7EYEAtBr3g7cMUUWaO++xM8gSvTIC7e1NpwzjLKnlkrPfOUeKEjwlN6ZjP7cq+6p0R0S6tMLvW
FB3+rN3CfOxAGx7SnDE1RRLYEaF31nky2I+jcxXykbPH4MsLcESqMFElzdHZjkVL70BAiNAr4+IK
51K59vQUnZXf1fAMrVuvSKxbyVF51bTmeB82VXLK5tza0e5jxOvO4h2LVU8QbvCa0dsMYSV2fRGk
txZ9BqeIyEm2NRRx0kORRd0NEbkFucc48+ziTiPXAQjJ3ghdGgiyHBCfWa1If2NPTkRJdsnqGPPq
pfaogtjYPadEckVlTpLTwBWzctFDnqhUCW5HreMz3hDs8W6ktc1DbJqv/XZovitpySecp/okcw9v
BL3J8lkR/7/nYYcuQmFn/MoNbO7IbJYcoQ3ygtwz5YM3T9FNnbltv3yfgubr2r8W/OCfgRwKHF7Q
rEgDc968Kgk3JtjuaCLCSdkp80AtLb1gylYxibvaLnlq0kS66RVVNpTUi6ZZz/QhYFaNIoz9vfKS
refbrsBs6hjvJGLVQ0k/rI36QflrjSnjbvby/rUibUt4ZdDlDXFatuq+RL5PadvEAjGYd76S+asC
C9xtYxxCxZ0qYxNKQIPnbePGlKyTBQqBc1jDhAXQLGNSrVNNcQh3RFAcwkEEL6HXM+gMXggrLUP8
AGLdN6pC9nSMRSzS2IXlbL0oBT5+30nTJ6gzjgT+RZQ8Eesv9H1RtbrfUUHifKqWigoW6Uj3u9Ds
UCdMD4fjhhIOFd91tsPIkecVLc/0/c289PJg5F2lL9wz5GjtQk1gZvDbtjz9MbYNmOqK8jgB73nh
seReJLAoKB5hcCwH3T1MLB6A4ufzyzhHnkFYGeIUj98UaDKeTrAejcQn8J8SSdkRkvwPGwJxtvx7
8sjxvS3fu/fsT9xhS379qd+hiP431xWkWQLJuhsYGGvmX1tweMSgyV0T6I3JLtpdFtR/ow773xxU
YdOkTdDyPM/+xxbcsmgTFBY6i7Ac/of8l6jDf8VBSdhCYHfQRHh3+vZf8egUcBi115Gt57B0YDy8
k3C12aLuoBVujLC7H6rsk16+9tcF9TH9N8wL/8Yeh/KtP2/fFxY7CQMXMY+kLT+L+LMoE8WuzcEb
uV3iX/kZOh7seWQk/OPuwIpMmDO3TOI5EsElMebLpOopx2USz0QqVf3puOi9kJj6iQ1vxpRa+bo6
Ek6DmEvP2iJJRJSHrlBZ/bOTN9wkPbaUne2GEEJaKAyzHLxrI+rkLmK2nNkT8wjN8RuuWGjeUeon
N+CgP1Km4w1Rj10a2NYacyyUiaa80CpBfV5kbqUBfK6LJyzTVAhc7MmicnaaBvsWBoh1zmH73XqK
OiziICkGKj99jAKffy/Uk9pPtixoCau2WZ0CeU3VTVbzUUzBbM3sYU3N2ztL+MOjxtREXHT4sKXh
PHWeAjSneiu6S7ygPbllQRFYosOVkAkCcc16dC06N13ZVBA+07oVXKRLywyr5noTka21iD3fazTf
TVh18Xf6U22KNFrHWGrb7WptD/Q1jIbqPsMJuR6batBG6yjtgh9dPSJQ6VESrW8Dk90+cWMsPVxj
m7C244uqGtSl0qHAY51znKJiGebjHjUhPuIJwcZJxvIkOMGsbcOVtxTrOXdmMhNSFpl2z+CevbV0
lHlK1ARIo54gGkdj1K9nTiAoMA1+NIBDVODUIF/2ldNPpyH1ux02/nK92Bp3adLNx3Ia6qem9L0e
s5eiPMez3eqZRjEcuJ3hEx7MxpoR1R+C6hwJu6JM2cnwMue678LNUDbF2lF1wGYMKxsF62aCLkHT
7jNFIiAUkHSiDtg87nyW4VgD7/i6sWGXV1o/XQMW9paOg3I7uF3AongkxmJSy04HBEnntQtl6KpX
A2gSv6xS8KCDWWUrBaMcrNOy76mi2n12NVmG7ZxqGW7kUJItnzofBliryKBV7AuvwkKBUo4qt77p
+7h7a0rBhZQ15ncyUvHPsPPqDz6Z5KKyMrijrJOi8EbnRMcTp4+/Y2ZjLEr6JGIDVtqMJKY1nCEP
8K/MIrZAZWRBt9YUtr8BQFDXElvCtA5RG8JVMqQAXmLb0lswPmKHc1I/iGq2LyXyEFVsluhmjA4N
h7Hl3PkBvIhCsTQa6/shtII35VfxCzNM7m8dv62AG9DbzaoFT+XQgUHx+t6attCLqT9m4fw0RgHH
K0He6b1J0qZc1RBFN5bVSnctSQWb+Lcb66ehEush7urimShreC8n2/te9gy5oIXy0NiI0YZoEaYB
/nFryOptX+LYrWTjbJVGqV1FULwYv1OZIaDZuGR2CfUp0IvbHAyXnDyximIp521MQf2eJT0BJjyb
FqRXcmAaqWnYU6LdXtBjmgXEbObHmaHaWmKOPEUyopW0XOajcadrTcLAyvzsOaWZIiGsTBptLUuP
2kSzRT2TnBQOjGhoDpBdKK2hU8W76lm7DqifC16hTv30vJR+nUXnuf26RV7HLl9a432CkvbMr5S0
ey2LpQiplnRqyvaBRuN449TOCBvJLe7pMUy3c83Qh7IxNd9tBcWNhxk7yBHZ/42HOb9RUti0nMBs
BW+C9dYAXDVE7HUj1BWiVmxgZ+hnY8f5buI7NQj89pFEIOc7DJgXh5LHwhAidW0yYx5ux46mw9xs
U47ExLqhPw8BsRJTBOI16dRAW3XvuoSxLKPEua7N9CalRvxsuH795OuJXI7CKOHTclk630fCSz+a
aCZgV8SLYzgBeEu2AVMFuJk8nl0iKK2Ormj7EmQ9bRxInEDN+FyZoE622Dvt62qQUbxXud2xJjN6
JGRN8L2+aal6IV7QpMb7GLYTe7kobNW2FGW4UyWREPIxHsFGm/5AXF4zGmdol4aDRJS2WObxycNL
qIwigwZEpJ5As6ZrQruKL7FcckFTC1wDeEfBH/Hn6yAd6nUt/PCGK6l986gxujGy1nvGu11cD0Sz
jnNq8iA2ORsfZKx5g2Zlr18K3+KhF/nJeAsc06dJmqrsp7nMKPvGkdY0K1in3o+qlPJhygRQcGQx
7Gm4T8Gg9F77qfshvm+lXcfrBJzZdjCD8dansHzHDzqs6dUqXkomMngxfpWs02UvGck8Wlo25mMh
SpIxXq+OHrfe1uY7f5+79LYf43DVe+ay1uAg9VtEg/utE/Zq3PYYZbHj0lGPZYnVv3kI2cmwYej9
8N2MNDNkL2ntOFVSs3L25RC/QOJia1P4eQLcfpp82EYWP9sUxvq7PdvykcdvfUY9k/vInPRrxfv5
JEU0odphV3kt+omVjqUA/VBtJtH1h9RDcxW9hSVD6Yw1Mn237dvYu92Z5cJwG06hOJuegkijR4Pe
lmR+crmRPjDRhgw9BMqRtfK9IMFSo7sQ1sMW1bU/ZlI29dptFMalgOQDo4KS4j7BqvRQVVZ/1Zsi
y08NNv1Xt4/jzzkLixjbRUO8wSJrzAeX0mSMaQWIr3M1Tw6gmipiF6KhK7zzdknu8RnHE48tSCQT
ULF2zjdVV8PeQi3JvDsz5JW/xiLnTHieS0L+ht06rL3wOk52rrgJcABPymAbI4LwthqqFyAJRCmw
SwCUs6p1Uigd7zgY4F/pO4rsjjp2JPZ1m0KkRru5XBchGlgdTyCJkJjJ1oa63fa1QQl0IfyPRnT2
sYylj0HMs6KWXQo1t6AP5Kl3rNeGatunbLKd3/xMBDkESi6zbSAUyCVLcEgg/+t1n740IDo0vYcn
wElc/2JSw8mqZbAZuXxi9VT9TZhHEDd6BOVxhFiD+XoxMpo+XaeABiajOvaD47yMXcMVVUCj4CBE
Kf3aIQZyaHOTWl+iMbwuecFbn21GuJfndB59T9qSFKCBuH0nk0RREK2LYRsnsJ9XRPHZgmdToa8R
R43fwqTt/VWCVExxBfzAde1m3ZvdDOwhMBEYb5EhK7m2lU5h0tg8BQJRIONYEDoeSr8GhxMNNWcT
isDGpzHD2rLWEJvUFVq6zQYtYkHP+irV0Y22Tftilvns73I2eIyOc05RcI/Sd9VJ4f0AeUnQFlPi
YtzYtE0drO3OkjswU/HLOFHd5GKLRDoPY2uVgVtZDaZuwVdMrEQBwiLId5bxoa2ofjXdNQvKklSM
gfAczP4q6vxi5yTQiiBuMprPNf9YHYm7PvVJqUo3pll7IHSAdbNIpvIQBe5E7UjqO/dpbRgoN6W/
E6rNt14QOrxyh/CsQ5dgi0dsaOezrQtmYb1wJdqfY6LSbTskuENbzApnr2/bUxpPIxDBNPcus6WT
aosRKH4wtFXcoKTy+XFTPE8oTejYNvzIva9S/RI6vnrEZADjAwvoRC2qjLD4Wtg/P4m49B9OTNiL
BYOiZLKyQxNHI9PNp+0r4iwzRvNHp9YVr1j2xeSkbL2CpAOnLxJchQSaxzLeWL0ePxODOGQ9N8XD
OPNQWdVlWPfUdWoSsGEZEaENu24Sh96xJ7ZR2aSvHS5EDr15gca8OKjMLGbN4DoEOHiNlU1+W3Ca
LzYZIqB55bK22EaWTB7qrMGXoWcS0x7Je+BFMz6cBpTsKNjuVUEK1dtt0JdXeSkhBuXhwPteJ5im
vFgGjxXKIdV0oeYkyIsyb+CeDthtK6vJ0XrIL6PDs/tTG8PRfLSeUz1ZXVHsQFRnINSz2jwC0YwH
lgWLgBQhbr8g2AYKYlQf/8yoyKR+xAs5FWG15oiIn4vUWjSK6tns7fxxpPj6hwDYc0AIm+or6Kfl
95LJuGIv0KbvKelac8cY696NOqOm0jbKHDMdbWvHIMJctQrKQMPdKn3f3gxj6PBwcEj58Rqumvv2
q+GlK7gMSQiDlJC9wZijnNY8i692GDp8aYrRrWM+eiWq4mjkP1mQ0SiTET7E/2ctTTNDgXP34C4t
NLIdMbqx+6B5txsD/zopfPOarQ8XXMidf9WlbntWBEWW6kUHEchxGfOGqU73iXBM+t0jSE9Glf6Q
nlrasTF3H5mS3XvoSGxtMOeOTXVVCDHfTnEGnQmLQcfwtaUZlYyDk7OHIqYprEjgN5d3ihvgLgGs
D/qhqwFksWCvPI4fmCdVjLm3ywCtzwwWM4wjWKE9XS6jCc6Syvmyscp7tp/FGQMpGFeLUyMyom5D
/hnt5KeqtJKtgeFphcLK4QIf2Z0duNh+q/wAn9Bap5wvI5WNZyxz5rNZFgIpka0YfAv1UgKHWWNN
kpcBX8mWlY/eueV058UGNVnC7SU4rim4IsqNzjvWIhp4QgXmhv1BcrSsDLm7Tfx5a7Z5eQvwJbie
B0Ag6yoMgAnx8P7pK2/fAIv5BIiWnaOBcEw3lMFrZQz+tUeQ9LtoZPTD5wW69viA+jav+BKnJzhb
JyHkEv7GzDjP0vY8AmI1EdEhVvUjPY3mQTQh1Jox0Bbu7pj1Slj2K1rD6oMn4+GJFE/2FvbmjMfC
1Mbn0HulesMDXixaYTII/MzUAu3bFF4XT1Js593CJ7xKUAh/GFbXnjS8RZZXccALLJ0snPRWrbNx
lw+cJrPUD+5x4vk43v2m3/X4tZlxzJrAYU/mPWTM5KSwyZZ3JgSlxAWS4fOg8kd7zDackdR1/fXY
6fjWXjvJSnyBDIfmZpoMLorBFLN7cAvGBIj3NsgyUVHBtK69nhS+XVryrYNc87N2ExFuHBFkeuMr
P7gKhmAKDhBVKVaClMUherRz+dOPCPglKDlHNarxlkaFmQC+GXMw7a0UnknhAGR26OOG5+VUh663
7YvTmWwvIt/kkRj6QAPQjyPowrUiipkUnnb3CZmuep1SWyrYqQnz1Ld1fcjxzS98hhh9tjKIFJDs
8rv9f+qj/1v6qGMuPQn/3D52SIr3j/g9/y/n9v3HTxX/sT3G+vWHf5dJg2+m6bvQ2gNBkwlD1t9l
Uvcb0iiPZPP3njX+n99lUtv+JlwXA5GHQVUIsXQy/O4hs81v3IuEe2xpoZcu/9e/UM4mvjxi/7Cd
f0WYcISZLh43YVvC+UtYSAA7rkcmsj3hA/zUnoJ2oAJagmtDNx9OZ4NfMOPgeVyqAMm5FKvCCbsN
vunwSsgGqC38WpxZHBQr0d2xSCr2TtGlb3mbebtqlrWA3JA1H6yK6hVuJbXORx3dGhAUKOuMjV1F
WoEbP2GQ4BQGZYwe60ttuJQWc7M7H2FOBAXNTca7wSh2OuhvktTJj5QpWJt+lN1Vg2teSqKYBELN
XVIHd2afNAdspP13GTXBj8yQ1C5hpg33LVVpO+5toDl5mk8/lk3dW++G/fWsUvAiciKboqr4QJZL
77UwsfpMDUAIkd8AF/Hv0FjGrRZpBdHbtIAT9gtKzDEPeCPm8wjZFaDKxBGzsOX/ZO88emRH0iv6
VwTt2QgyGDQLbdK78r42RJlXJIPem1+vwzcDqacxwkBraTNAz3vVnZXJDHO/e8+d9kGakx+a+QI/
9XNR/OLY7FzBDJIwbLvHuRH+C+Fw71a6lb2YjfuYd7UI5MqLC8gm3K440wRRw8xuyhDSPM4KawZb
yWvTTeIk4UdR/ml9gSkFDg4/9BJHZDRj12seUnLuR0nBAz0c2D5WYeLGn6hvxgu+IO9cxY19CbHL
fZaIiSF3I8UizkZ6lVG+/FpoK7viA+f3BBi3YjDNIUfY14MKmnxDCwIpESY4W6a+PyNNyxvHibDr
pT1miyopKWZN5ReoHdjoRIu7XSypC+eBt3mjjPzBziz61ObA30ReJ157jBVwRtLq4Ctis2WXmFfQ
6ZpDiVVnM5C233shqoYO4X70xINLjlJSg3oJnr0a5IyC+fBoC7w2fYOW1JKdeRunEoyEBSqtt93s
Jl5ciOvaiwaWUabLtTVkGzdotkPiWshmTo3JP/pl8Zag/uWlujbNXh87yuP50KHiE5e4DMXsf6vS
Dp9G5Hxw0TJ7nkYrPXkRYHeGkRUi9+hXF6+nGAbVwbprKsmU1vANusMLGzO4DV7iu7GbG9+ukY3A
Z+8oOLOuZzllO42L8Doa045YmcVTi8qTPqV0EFab0VnSEBnvma9NkH2cvN5nMvuUt3rl/RJVOc9M
13fTsByuRv1d2UsPHXiHcnLd56TElJRkYHNrkCiqnshtqAR/fBDnT1CC/euI365dK6Pn0BEMJgdY
YkLXLfrRrZwJxLYRdYd8y2bgXvlQi30jyVAxHZ3AHGnOGJnKvzz8/T4AAaM6GKq2dzAEvS2osdu5
K74aczzhn+R2LjgDAefc1RC76UwuD17F+dQn+hpVxiY0c4tOFjTKtRU5/6oNYslh/kMtwxLcFDbr
NIMajLp/HQ8FrnaHomE5iGuuMSvwAkswrAS4wuOYl5eR+iK4INZWNvlrOqY4aouqhu47m1z+Qg5C
5xbHzg8yRrchBZaefQLSWMYtI7kUocxfC/pxdo0LMn+LA9bOtm2LQ3yJXyf3/u/vc/L7uy0Z5dpH
MiS2c8R0Ik+DIpCwHnoJQrBjcvv+p23qnwyoXPuvAypTEhll55GKIRObz19WfPKFNlHiUOxNFT4A
8iBrmcgHOIjv+FOpEcTuvlZuWGFh6VwsU3zGO49DPE9DDWZ4hcpfm+R0sPGuOFuPew0Vb1PrtP8F
ry58jLJxOmItONjMtSo5V5yruvrda9pdEdUVcfLmZGGjA5gQf1XVyERmNrPbEaTW0RR+BTIy7U6+
2UQnq8oyG0MhLDAA3vJIubt01iIR7Zb30VoHQ6Lx/vVk1P0xu+3cwX8vvCR/J9/X7yAR5J9WJrtr
/AXVdcqNbBcNC6yqHdxXCrmDo5NJbuFZ3N/zj+6unrv4Fe5adOKagL/Gb7FvZY7aD6B29oUzyAvX
y+kIWBmsLHeHAGqUFT5AL9DcYOewWfOyh7VEhdklRA32XJkoLWST3aYUv+OUYY3c1k1QP7eWMvE6
+uUz0zEE0zS3fxxBrXncJsm5ozED4JXS51KlS1YA9OCzQZnIDWKE8SCbwTrAR8CpMpMp/QUsc3x2
jAKPhlvkt1FQ1beAOvqTAPl+kKYdXYJK1AdIKses9jZtH3kbt6jbdeU1ZNhdJhF31jAMd+PCHeiH
xYUUoZrvI7vP+UQ6QEdTVT90VHOsOTcXkN5M69MuZcBd2i7oOASa0OoBbXxWA9N60MvvmSiHq1la
7WVGgIBs24znPPScS+bhXPOcNL5Qsw7vmJyWhCOmGfOF0DjWou7pBQAwcNMYAwhhd4BOPJohYL/M
STfKlnCva8APfj8nt0ivxZUzzgvAJ+9XWUgkcnRc/y5aVhGAPRxX3KMBmKKGBzVZ0UPKcKQa0gzO
L1bqBkiABrjKfc7N1hNLVbOsWSH+S8DbrGMyNKM7KtuNH5jq+RchGKht2GyLobZWdh+3q7xJ1Z7R
Jgtj93uRZKWwN92yctbLGgprjXUGqM3MQhAhc+GU8K+nZeUdlzW4tuzxlA8Fay751OmVyyNq0TCx
opvYpHu3Ks4z8KV3NTiwSVLXZcRQW7vs98aglz3CXXYLM6VfYZUse0gVJjEtN9acx+v29xYk/JJ7
vW9MLURWs3IfJ1GoG0CndrAZl30triNJSBt0sNojT9Qno8e83Sz7ZMcUY6N/76B5GXqfQ6kVWwXP
NMhLKy7PJSIOa2ibVYciSIZ9EFH/BMJ82dJn0fDBouwht6q435lZ5eJPbfiIuEpyapiWA4TBSWJe
jhTUBnG4SJxBr/POVZtoOXcIjo+BH1VrJ1smpUHKnTowuvGcpWa5oVFgPAYMi8HAAfArOfpsiMzp
o+46i1AgSXTMMz64v7GAIOunSXKlrEYfcaG3VzrMrJeocOzrlszSfT6ZgCzqJmp2hL79X9VcWrdj
OqivPu3627iZ4iej05hPmd01m1B07rHFEYyxoDZILgk7vnHwkSONxpG8dgzZHWoDIzlnuolJim1x
JWSHUigPZXQq0bSv265nPFYObv051v2rcMpy43sGDLFECrXLSLHuvbGPHt2QX1xzazjWRsmcLYK4
ugzekVzLRjGQSGzjVs2YzphP2A+ZLpxbejzUmukDz0cWF48lYKZ4RVIjPUoj1i2CZZQT9u9JcoZm
2ZFGGhnYO9yet04/+AcOluKT0X33BQ6X2SGQFfiPE1+0HU4+JVa0FDPECE3eRtQ+tU807/g6HZ0Y
ZFuZnIfaM05+1YOs0uN4whcHXMCOa39TIlDcxaEh3szRu53DdnyE3Z+tIZEjwxDWPEVwP0feNM+5
A/CevGvJuBjjokK/q7P2M1R9+F52MIaEa6d07STBnr/yKaBfbXlFatvSune2Sp+HH/tmylYu4juj
ogkkl9SyrwrFKRAB0rFvY36NINH5WjHG9pgqkkWZfwnLgFXQFhQCsyZKrF1CFxiE24rxoiVeiyax
wVI13ZWScPpCJlTbARITP+zOQAqxgxM48Srgvd64JeHnrFLfOfnC/skG/xPsuqTiAs8ZfUtFfnRp
9uHbPnAoz3UV3keZnPasPBysg0Q807C+gW2SPZMlsF7tyuwOfZeWL4NS+gXnav2LUJ7c+LB+Dn1L
HaYvnnFpQ1UAPuUclV1cUf92o6kF59C/2BDG0dkmaDXoeCku563oGR6twRA61A+WdnnEr8a+GyTq
5EsqjOa21FuzVtNbbPCcYmmxzmjTwKkiJ/iy6tjeh46nBzpDlmP9nCMUg0mZ1+By4clHwd63K2Pn
mACbwVLE53KywulMN1xx75BlfIy4v5CloQrzFxNsjosyabxLDkAbm2Ao9UNe4gFfzQMMWE30e+dq
u9zXhcSPT/S755uoHIDZmM75t/bxB75Kyo3cssYMSLESlAt+d6b8x6Hz9JlZcrtmHFGibWsj3dpc
R24SBx9gTiZyO/hpsy+DeeTiJOUKEwewAOLc+xjVd8WcziVKkkUxHpTJvwLVjtBXymInzc59j6rY
3Ft9DH3SM5KOufjEt7aeBH0yeaSRyYvmqNPmzQ+6q9kVP4t+sQU2ZX60veHe+BU9Qm75yJDLDumS
bJt7K6ynbD/E8fytmQWuoB09ZxRUM7Vhb6f3wNwMKIXYUqpmNVE4tBedA+N9TMVzG8LCxqLDUlzV
fc2S1Leb0LbKu9INMrLOVLEamzT32kfkifnRKTuID4lgAGm66oJAX/Z0Ion0Ns0Li3k1tg0jCJ0r
adOCTfS+ZYzc1l6+J1NnPCi26ltp5sMPXTUBAdl8IESLij1Hzo3hTPahjhOORUZ+lXnMgUQFILYB
rEixht7j+KlYRbACKCZ3m0x906+Z6t2CPxxWxpQyoSFKvynpuQG8BVFjSM6t1V8r0b16yXsx31Nz
trbslpan3NI/WoXXSZLBpK1LceeqoHrj+WLzcqb2ZphdosVRXr6Kvh/CVZyiQgDNNeq9zzf6bVbN
8ORkvnwDvqVeHO0wfReNfWwMoU/sBBF2VejVHtNEsk9pts0NGo+0Do9tDfPEd+PFK9VFd7EunfuJ
keW7gpeKsyDMjlhIUXU1EHU3T1R68Lxazeyn7vjaseStKag0JaQ1KzrgIc+OaTxVW9tcvAUG9Q4W
joC9Mop5v7hZQCEV+mAXiotsxEl2SoEW9rE5HjhDgqq2C7o0VrUUwa1KocwyqQWAmnb2NrHM6Any
QbzvcVlhtuiqg2fX/gFmWERALWYSgYSKSVRBHanCbN72tO68Ym5l7tuO1HjmcXYf5iyigBONeYdx
aGSmHVV7NO2n1JjKU2IDY0sCOB1kNOdd52ru/CAMH/06b7ZzV9KVw5oBLXRKy62KMeevCSYODGCb
hG9gkgsW7Bn/CRkovlm8lGLd+hk/0bcZM0RKKp6nPG7Whj27X/j25SFKWCFoOMXz0joTX5U4O+QW
89M2J0+Do0cTWytYzYahGmClqs1E+fDZMoPgKgeMAN35UyHM6EQcw4KfiIIztSDkM5jobrsCp1nm
2WuiRGILKmU6ofBhH6r9e+7la8a9A+9tRoUSw/TsKkqsdp0NUDDQCeZtPKqIaxI4wFXtJek58pTL
WxCYx6EuzO+56xlCWE3+E5FBXJG4io+enAyK1QJqCGTQFqc81wnFeUXyRiUUwKuK9Ne9bfT+Vc5B
+5a7SntmmtwdBaEEog80cz5rw+4xM8flWwZPAG9CitNwme0pt9SHchDeQcg43dt9XV1ymTeHhoAX
prW1GDWMS8v25x39SOaeb5h8armu3UJ6iVZ579bbOEP7iHyxMrHgrdqlGspSp7E5TB7vZ8ecoqm6
NeVv3r2V9z6oF1c/O0ypj1WSpoAYQBUgQ6pjMOhbUmFD9y/MmtY/uwor+7cXVfgWFaL/6NWkf80K
AmK8e4Me1K2yF5E+7CkiqxQgTxIu3H9lOoaPoZMzKq8JoRebKCqNu3RIpk8waWUNpEdFW4I7GKTC
Ra9E05HDqvMFlS1mhDF8lf9WOIXTMez1RgTCiT6AE+U7Nv2N3BCNv/Vq/l9Gd/nUPf9J6FgwYv/2
67eSv9DH/uPfrz6+o+njn6rxf/vRv+e5rT88stKOawpLKAzr/2BaRnBfnMmLl3npj/27GG85f0DR
gpbjIxix0Pu8kP8OdKNYEuh2HPyVnuQB+l+I8SZRh7/oUugxDtkGjv4LXUwu2fE/J7pjk6V8TuZm
t+h/9kbUmLXQ76Ibw9DiOVKt+eJVoce6Sa7gAt5rME/oVS1dgjGHItuKb2o8a7hHhsn+pm/Uf5zz
1mfhK0LLuaBbddFzCH1uWhlG4T0TqMZxWFrWZjSkwKCZ3ldM559cVSjc+11/U+biGdfESElJPjzG
qswewznPvzvlyptaZPpg2UQsnHmOjnWYdbdZMqaEbF2FsAO+JaNvNDJmbGoTdHgu+4Q/W2xUnjAJ
f2Efme58Cu4ouI6dtDhZdXWfQ9mY73u/4Q6zIOAfSuExuqOzrX/IzCJjDmoP+Cd9lgoMprYV9UeQ
lj3Orz4ovw3D68hVVDlOXZkxdL90Y+77pz6w6N2euH3Vd9OUlN828cp4H/pj0tPXEvrf1FaMn7PJ
Lfxg1X6FZufKBGfwYAA38X2MdwYRzuxGATRZqkJU/9Mu7HaG1Vn1nlqd+Vg4JBtlHXh3ls3obtCa
bJaUxqk0olLsi9RzPifOx/1ROiXTexK9FaiyyBHzKhpLFOIeorqpQ9KXgWlj5vEn8UgrS/zWpXb4
3VGl+TWKxr3OKBd1tw38D+YDQ2ivyUwPZxdT6p4MCnfPRNXZnneFXq9WpYgPTQV1t4rL+QBCki2O
tr+LJO6fvM88HPfkTox61YpckLL2Erp9UnbdGVPqqgwmJjRCglcsu6xeoUhFG5w3JHdsWoj2Gmbw
ySh1eLHz5ItaF2M15lWClpUVWJvjUD8g/4Vs58S+RMrvjfPNWWtjNole2WPxAcU7WDWkzX7CNPNe
UMl5yE3Bbv8elVjYcNHSxd6Nn9IsBJbT3jjoEWglsVkak/TcRpsW9svZabP7UmpCc3kdXZSa6O50
lf9W12l8FWKrAVk6zdG+al2PgazFLS8RRvra12PXkUhUiGFOHI7h2rWtDPw5WZvk96QIfwl1kuWp
yaUBnB1ZE2hp2FyGoI83UADuue+IbVyYdrW3dUvrg/QficX2b7UNGluUGA/WaAIKck0PhmFH264n
DwIm/YdCRo5eyAhH8ToeI3ZWTGSaQYJpDMNRuKRnVkM3M7MqMhHnR9PyuH9zz4lemyEe4ZObYUv6
HTPieKnAszFVSZZjDIFGGe3sxAEeGxmDedNwtHPxwNbOG8ln1Aoajlwj2AdZZ7/YwDaNa2U3Ub2L
VRx1u3GJOmxspnvTGj1Gqt0wjVAyNe0OnHxETrZ+Jal+GinXhcR9hWyFamNWWgAJ9vlb95E3kCCd
XFLzLy1Pl0eOKE3GXRAaDGbigRnfOp+WptVyZtjURnH7KHSqjgRLwuoBVtAEwRlQrf419FN56bmx
88VWJQrCRLf1MzRjSKUE0xO671q/3sogqEtgn+Q+N6FyU0RZMWNdaADKpyhKZtBvsjn9qX2Qnhx8
hnAb6DJpjjyZXFTLmDmT6df2HQas/DrPlfp2jDG3DpR/+/Gps1X9Kan7MlbkvKsNNoqxJ9HhxywS
o/VEVaH5BDqCiYJITHuXJjYGGkHn7TryOAq6iiHgejZ9ZW0CxVAP0sQcAYmeyD6sO91VxZpfMdtA
TggM/lBigk7HhFOqzuvhre9zj25flb8Urp5wtqphwn1qkb2uJXkGzAHjlnUoBGBHdc3BMdvhqvcr
/5YEXoo9VEMkoHFnvAN0P61tYv339OJF9nogVkFUIg+LY4BJkhR4Sg8EwJr43LYExRS1jY9IqvIl
w9m8M2u8YMTnHLxLA96mjC0y246GQCsK+5QEhDXqbUgz84zBYe72Yur8S1m0xpqLETwNNIyOWEJe
UqFadB9YXsf3eDDt54aeyqPDoXeHEBzcs1vG3r4y3eaxMPX4WeEj+SaUMTwOdTbsepU/+CxLaCwV
EKZt1BcPGv8iAXsyIaeKaaTY4xoOD+iOcpNhvN73HJfjtbJbGnqoP4mjnZf2c72ioOQt5AJWkfrL
m3PiTN6Pzw2GJrHCRgHxxUG3LU3TbkboolDCGvBzd3Kb9qkHHCAtDhkNVojTRGIUkz9CO/Ti6d1E
gzSLa4idhAjqpQu0pAcjR267TJkkJtfUc/FUpUPqEoPIlpRJX9rH0u76c5JEBO8KFwgMeG0aRmlN
tO/6bpJXukr8m7xOyBqTg/pia64viNDNG6FZzEzDOJanckzCc0Y8m9cysVApOdb3WcwIGytQ79/w
Wtp3dCjxnJgN5i7ated7y6W4MFZT2W4Cx2WSpX85npU+ceaF0xBkcXvNp5e/iRmQyahaFPS6VfsC
0PGGspxvkh3zbcSw4pqTCxVFfp5h5iUXU/lGTLVBASkS/gBVZ8S7+b65UMtNAAd3olx8QFnnT8AA
jbl8QFo3TpZd1O+WmfOAhXY3YygsqszbcDvqwaA5TfvpVL393nhlfzeircmjivLktRjCMLyZ7BZT
n9B2/kmtXPsVADfhcjoWtXFqmgCGKNZ7X+9od3AffHvCG0vlpXsqmfJEK+z8/O8UKQPScBiymAnD
dXs8ZjEyoVXxh0nQqjtbcwlVQ8PKzIdrPpPFyVvUfsoTqKBUGSpFiIO7VGO8h5LW/qjCB6Cf9Pyz
kFH3o4aW9uRBlZfBqd0T1SLlXVIU/bxq3KmiaSDt9VOKCLaPqqw5xxG9ncIJ0BFrdLaVWcdgHk2u
6aBoGjYbXG2ASN2k5xX2EX+4yCb+odZZg4l5kvNH5VO9sv3dKhpPRvDVNqNLSqTpEX5Dz15glOPi
LDMZ5FKEqxHzLH48p0Ke2ewqc5v8poKNes/BNNpAvrAI+MdeSL6nS2ceVpShveXr4t0Hv8D3TebD
Du9VbCKyMsJvYVEsvZFOSC0MgUQiUupsB0HwIbuugQ1YLxV8Ng0mYQGwYFWauAxdXtI2ZM2kxpfZ
10vrhdXXLCB4rmThqus4Uj3x0a5w7qNiGpfMQf5Y+EyuVnVNg3jhxX3MZD5ujjnOEbkFflPcsupP
G8wWtG1y2CngqIogfAqAz7LuDCyTjQWMDvUHon0dcGjaTIWmyUKOU/XuxZqtxjP8+aame5HybWSe
j7Yt1NaNNLS7jDb6GxlbtQ2kITMTSgJtovdm6o5XbW12DDmRX5/CufUf/apMPHrafQKBUyQOAI6A
54zuaL8CHe6jh2Ts/NvKJu2zZYHxSK0ZbB9LmIWsBjszNJtJnSIYZvBFs9Y7yEIa7TrBeDitQt6z
g4jxU6i2xR6gzNq9ozuGThUvH6wHh11nUzphR0tWGz/IyfJu8etwbosw+N+liEL9TvhoYRxJDAHz
DUMoyJo+dB56x49v6JODQsKEeQIbWyVfWTjK+6pkoT44EtDsKiYYtyVKbnyz4ukd+zNdS5Onf+Gy
pJ0ni9QT9rrC3DEOd+4FDh90PLILaz+SYN0qCybGMJFfgUDqviVuP99mojY+C8Y9D2KKaBSymjZb
UsXuD1SvuLwwmAW4PTcq+4YZ2j7Pwzgd0jntzy6+1XhjuxEMNuH2OoeWWU/TJs5ZhQ5VlTkHgAfG
kxNOab9NsZbsRavac4awQ/A+FoSy0Hq35tRRjJ1bgPUFJFIK9uAnvcxe0G6pRion/q5bucDH43FH
ZUN5aQuacTZGGNfbIQ8hQoWNOJpZ9zqKFhk+LOINmKeOF2JV70FBIxhbE2PNSHrHmDk8e1do38WD
S8QV8Ry1coJqJVi8MApHz1ZievhMcAPzFPYrq/F/Chf8uCPr4wiCZFt5bbqzjWjcA5Es9gEJy19g
FJsbcqasfxPTg1U9cjvELrAvMqa3+Lxte0MJmnMd+kVxC/wmOla6bHbmZOQHs0F7rUK3+xqStrxz
jSnw1nA+e84ubvGIzzHcOThRD8AXwneOMw027eg+zlmaG5jEHObosBgqpiZuXwTMvRnrw4qFxRB2
zYWkAzs1zpTNEA9f3B7ao8moH1I09oVtnw/td1LlYtjqIfVA3kbeO5VwIFvzymlPGGKAZxlTTWsV
wht4Sn3y8RV8zF71PZcGZyuGoMt2ym2sjHKcAVNdk5CyZqovw3DXRxG32pgQwhXZ9RyI9e8KMghB
CEYW9PnRuWszATC5gqJwdqqkvYgyKo/gruiT91QtbtSsYNsb2oFIGDzy2N85dnjuxw4S0WCTwUk8
ANnpTA6DqFIDRHLFx0k2IQnBrVCiFl1FRktroJ46CpjlSEoIRCZDlYzGZz+vnhzRjh9xmYy3zmxB
uxBOq6+m2XEPjgVUoghA2e3F2KA7Cdypb44lbpKyqW8STLD7oGkPnSlrToAd40AB1uadU2ewRo9W
r81U9J/l3FxlUVqdm1Rnm8pccvlxJsNPIjXiM+S4AWJ4LHZYWLwrDnrzuScBc403pHvIIv7b1AYr
UrpWt6tAeVAfU6PvwfO2rguG/I+UHfWbCYIUCYvUaN9wIKtTa1r9Ns8wRLWTpNacnmMQl+54Vn4w
PAQhlUnCa8WOESG7G9S9nTRM58XLKz8BvR2G/aav+1lsOY3cpjyN1TYDCQ1LqDOzbWVUOKIwveQM
5S2XmTYNsxH1TTYj6taQ5Tu2fzPbREbX/7gpkVNGsKM3rk0rz7mZtJQyt+wm37Vl4H5IKBM86DnO
38ewRp7opEWW1DV0Gd5muhTPQdwXHL+T7BbPsfVuRYZzA57VpG/GKAim2ClFZSWfw7HjdrMDh8NF
wqVh5zmpxkExLMAS94A/OM8PtM972zLE+7710mp+7aNSMT2s+uOIYYT7Ap0ft6R6LOewCCQfoTKo
O0zmpYWoHylVljbj8nWb045lNpRjtUMPwmfsyocoddsPC8PCymjM7GCp+L3WRXSWgM8oZu7CZCMG
dBbudSmh0aBQj5U7tYcmx+9xFQLOaPBG13TZWo01u3u8c9LYydFg4uUtWZhnMFKW2JfsmpJMTboc
GWllGGAVUWbIG9H6HVnyhgj2StOM+lOKsbv2mJK8iDGjaCaaZED+pHX1a0zFwwkFJ2coqytCMxaZ
+pPhapk9DgvkLW/NHtcJNK/mXEQjFJ05mrIt6BgaL1El9q103/ysyvxtxfVtLxHnXFakmNZEPGQw
54umfge8NRdMvHGaJyGTHa5mxmPpBd7FcOYG5L3GZNpBK+IrF9fXLPmOfa66TN+YgbS/UobiLygz
hITYjzhJl2qfJ2l5rfwSq20d4uaJ/VBe8JuaO9OP0m9tlAbNoTgpcN1ENblscyY8s0rg19DwBgQ7
xvRu4eNxygE/EWnj4UonslmuhV2IHpGSjkN0LluyLU3eDbjcwgG+eENOgmFXp7JVDMeM47AG7LwK
RNbKQ8NNTOMtmTzY+y5lOHWiWvrm6rJ7lUG1HJVBU7HnQHR6TJADFZH+tLvJub7w/2ZMcdZRxoO5
Yp9OHOrrMvsDbggjpy4KoRuQaOGEwxYF69yA74Jn7DT4pfMJcrd8obfFe6UqLR+J4UfGbeHBtSa6
QpJpPRAm23kTYKcdPQY1fPKeUt25TNJ1MHUN1zscmNW61G1J4Cvywne7msp97nQOsKWcCY2VZ56x
a4mCYhr1FIxgKmc32kqTs2OnSc4qb3mvujHwTZoOpci6cuRtpoQ8pBkGfp5gmd7n1GEdhkASQYtq
7h5MeMI25SNx8oupl4BKU2V8STL8GBQUAVap9oGVGT1hgTbIyiN84gAmc2bqfdK7Nq3GaTC+9Q4X
LH4Tr3nuJpfgtUOOk9/aXRKcVtLOZFiBPdarnsTeR5dG5iN4MGJIdus5nBOSUJ5h4ZHIwRahPyw4
tOgW8WiYO/p+gFpBZ2/rk+9284vOu6UqKtPQe5JwdJXJ/HUkAUg2eZ/llnNCEHHjXe7JHKqCSL+h
BlhXpI7AT6TJEpIgnl87N3EXts9wIPVLNYgesNMUEIQfZo/sX2JgKecR60xmtTwqp3YK5nzFhLgC
ENmH/mMW19zmR4vlZ3JM/RlMQ4sOAvbPurBO0H1K5KnkAU0glh29sarzfejhtzwPWd/Nm1iP7let
uvopdSyw5EmMUwL2IZIeKDWX/r3IQXvkLmAk26SriRuS3ZHhB+0NLiTOevHp+Nq7xleBc9hl/WTB
1iGlARnr/7xJclIrG5W3s7s0WiHY4FmqBPUwfXmts3SkqZs025sTaIwpbtW98U2qrUstRLcP6RTq
LqWwCKkPhiv9jSGb8DsgkB7tRqvTHPaCnBw32xLrypiPafakZW+fZr+YrZXo4N6sKUpQNoVG/rC3
HSL9hrX0lfWA9S5wmDBQcYs0wqWvG1I0bWip3lpRPN8R4UnKPbQCir/DxG82leA7zyTYDq6G0QiG
dd3qeVsJTRx5SDLkr0T4LbW2rJ39isQ7JUeD6C7ToOjRWzwzdABMJTpaXAvEpMZ1WAfmyPeu6ffg
dJ+ys3EFc6Z8E2hN1tPDzuNQqhQ6HE+HELFoKnjBoTE2wVUDmyDYpZn50yeGd1970KtjpYnp20bR
jnSWaYirKkrxkxtpWdPUyrIZrpy2Mu5CrhresxXPE1Y9unpAxbYVm4vZGzuu9Xb8Y9v59J5yIFNb
HdPclo4eyFsOrhUgKDe+TwBbHEhgRP0Oi477XBJNOs9THz4v/RXNioiqpmEhfS0NGWyL2HWTI95+
FPfFVBZWtJhsujHIPxjoGN9FXE6PGmuhAVoTh8QK0EU7nVO2wno1emlG17E/egeMh2jZ9O19cZir
P4X2sqdZjFRLgLxuyLoZ0ckwGTZh9F9+I6j9ciUdh3BZlNq/TKMadqgWcjciKJyRdOy1lqq7bcRk
LXnLQpqr2R3mg+TBvW+robzHu8I3QCdmvIms0Hqoq4Y1uyUw9JjAsBnPUdWVO9D7XrgDWN/TXEm9
MrJM2TjzLrCBVBw8Hl8oIgXlWZsAV4G+RmxIJno8zX6+lDB4nEMzKsl4Jmo9OgWwEhzbKXqIqoUW
N5rTB3zQrTTA7OKfIn9czenwxUCGrLdfWa+cyUbF3qYj5wETG6JFkXhgDmonfKwt03vkLArqQPgR
WDXBKMrg2FZVL0Dcix8YkZxFZY0OsPYakf3C3Ocla0/CK8idEbG/6mL4XdYoV0tVfcqJsnay/89L
/W3K+i94UrbpWcwq/+e81NUHvO2PBorex5+jUn//ub8PZ8UfPuwLIRwfPPY/DGetPxxlLl515QF0
Atjw39NZ6w9BdpQEpbSkvzja/2s6a6o/yEgpprOSnJQ0vf8VbptM1IJu+nNWyiGtZbumXNqVBJCq
v0xnLS41Y2sZ43ZqS6s/OMxINmPfOC0LoP0TLifWdYsjV25GfMkoV79juubvxK7hGvHWoy4A8wpr
92s22b5/3ZPEBNmdN9aXrBgOE9HGtzna5IXr39nh9HeOGBpgWt6pOo5fDFvFITKHPRR3lUU3HPsf
jvF1YedEMf6TvTPZjd1Yt/QT0WAXQXKaZPZK9e2eENKWzL4N9k9/P6Z9UecYhVO4QI0KBXvggbe0
pcwMxr/+tb7VljI0Azsf25Yq6tpzsWpKCnjlQGoduLBJ/vmvCD6XZ1BEEICj+7KLjD+BE9rbdGLZ
7TdZ72HBaLRHM4s187aH5cw2Ih5twafRaLK7sa3HG/0a2xZrgttgL3FiuSPcoBUwrG/Da+ibh7ee
PcI6eOekno09ehEPmMYxYVqMIarRlMQJPuCptdMbe7AYGcprDB1LTdQGqJd26jdRSgLd1Qq5a68p
9tnEk0dAIk3SO8VGnw0DWxfZKOtG062ZA0y5Q37AVDVmp3aq1yBNBDxws67caRpUuPnADZPLNzsj
I2qp22z+QJQE3Rrlx3Vp3iFKVTcGUaEHTOf1h4ILINpuRfZOWdUHXL/Floex6pghpUvdep688dUg
bg1Re49n3K2OIq+hFCxXYgHZb/sxm7nEXdblbAjPp7e9DRIxrINyXrRpN1aSm0kodaYNu2M1d4oc
4Be+PmIhObQgv95owRj7fV9HIVmvdpo9X1wJDe6IlbicJoN6ejdU5Y2rIy9tBi/HKF0NtXGA0gT7
AfNx5h11tsr1GYgD0AZXWv2wFeVYHszJ7brAsCqz2kaLyX+zGwE4oeC3h7s5y4Yc6xAGZpDLnmmg
gNQS83tUT88qjrWcfSxgi3pFXBRxBVwkatvvSoUEfnjXwTzTr7CMoYUBQAc3/RNxq/fHKF8Xww0U
ZvibmjsUDLhI2mmqW1+1Z/TTgdpSVP8YgQzOjAdGC2E7qk7W2OFETOo2u+lYAT60iXPP4ka+KMW+
3+/CRqNt0IhP7jgCHmOIrZEEUuOReL76tXizhDqbgQCGdcqlR3NN6mIGEBVVzkz/TDCItbOhUzfp
93o9PyWltXwXcbFcBqG3I7T9KjbuWuoeobLQ6jRuzXKph8OiR8XF43bfHSZ0pibQ06H4QApp7rzU
0Zug9WpgkKHuZZS+C8t+bua4tje6WVDB4Wqu1UEoLsUNo3ksgjqi0ZyWCS0yzr3FmbBRUWFf2hrR
OEC5m9mFpkXyq/Mqc9o6M2sVaUQYLgw8tW5QYb7YkEsNX7UlD/eLMwBbm6ryG29jT/ljnOyi0J7e
WCUXfsMjk7ajpi0+WG3zuaEutbuDvgUD3i6qc6nnw7OKJAYvMjqcBfjEQSzj8ITJRELe9qz00A8V
xkda24pNqg9mcWAcs1+MIlNnNY/RL5GZsbddui4PHyBe0u9Bc82AIxg+/Q6VL/6aag0tHwUP3+ea
eeDtkTfPidStI4lqO9nYWE+pt2UfDdPakfl3LeL2ZLULpuVwooMXelz5uxmqwdsNuTVFeyqjXJAt
GX4uJx+ZloZovI2bSjuGtgm8heahfHyqxyRknANaQE0kcWuF/bFoAB/QSnwaZJ33+2m2DEa7Ra/T
ILO4i/sL11zdF1ht34Z0du5IaVe0lgI/MaLQKV9cJkk9GCc+KLRXE+8PtUqIwOEx6P4utNkiFbJY
e9GOvD3jtyXR9K+uz42ta1Yp/Jes3Xl9zIVVwYXhCKfUrmJ40H07IuMqbSX4jHqWx7EPrvXUzLPH
umPqLdvHH447027Cx2LWYILNDEWENbjfbekqI1+bAxt90PvQsTE6mMTJXUfY2tlezPRTAoYdDvRH
9dnFtsLFdyOOHJ90FB1yZqLLzYLkfR8mWfQMuqHMgyGa6F9SVuJVgSFYUGw8USIjwzUbX7x5YXQg
pZng8+A3n2yX2pYP+dRoJhNFWTR+Aui8DuS85tpNjLGPSWPSXsDZAD0JUAB22xg+AlWzLoQ9fhWJ
3JacZuDunWQ6Z12ik4myFw18GKTFaapqemy4H6iDSXNLuOsa4R3wFSffkoTmW8ks+KANHU2eU5Ms
v7lz5u2GFZLJHIZWUwV8i47Wqz5djkZpZ9lBiTU5lGC9nXEOLCYVPe76SyjNnuEmK9J7lS0zF4TW
sj65367wprKsn2fwKpdKr0cMPtmEZ8LOOFrpiwZyg+xV3E6ggx8tBvnXkdamUzZHnrXTNfiQaaG7
RArcXg2XzFvmZ5RMl6bFFCYKkd62qQ+T7N0fZ7TnA1KsgQk6ZjisiO7mNIjiAyGrGS0VTlPHJWdN
yeKdPadsQOwer/z97Eq4CtroxBeQSd6HXE0zKRXczdVH4+CoIdUNkeLqsglXw43FIReEVxNOgnyP
5PuVrgadZLXqmFfXDuYjHDyRubhv3WrrgawVsuvH6gMaDdcPwMfsqE+QyDljVl4EHqGZklzS4X0a
BXNbpP4wMbNpTemcjMbRzf2wOo6K1XtEDgnyiRFhSKKOnSqyq02JhaXpO42A8+SEy0lrFnol9dXb
ZF9tTvHqeJKr90lW8XKYCr2Hs8jyf+25hIFJwXyxT6MKQQCHYLfv4mg8a1dzlS5Hyt2vliuaop3b
YfVhAYyJvu1Rxh+xmp+1q13LvFq3nNXFlax+ruJq7ZLOOrWSiOaUZPFqDkcKUOQXu2OsCUZJLdVp
wCpmrJ4xc3WP2eZCvyyw4+dcIkELg1jGrZU2w58YJTGfRc5qRJNdjCktvhrUhLmQlZ3duoAnt1rY
KjubviITX9tol8nwWkGRS/ayMqrvRlh6+wAEGkOcmWJ5PNlXoxw1g7i9oshD2LVXL52Fagzg+mqx
C692O43rHHCnqw2vLK3hqbma85JMA/tztexVV/uehZFvoOG7Ogn0aFaz3jg/zI4FPM1a4gvUqeSA
vQA7YDy1FApfPYJXu6Bjx1gHV+WCVRbBk/tkaeNj4Ua0UKdacgi90boj3EuMu+jGagszrAe0VRP9
0fOIZzl3kO92dTGK0om3vTOaRB0R5Dh43VdNgzHA/pCNwdEtc1l+zleDJAet94yLl3zK0Fiky+22
vOvhFbz2E+Cv9Gq1tLI5p8elcnI/byLjjYyx8UrjtnarOhHtvXyIkFmvc6W4zpj6Om4SQ68bEix4
g3lA5gGPLCZTIJ3WWxeqTxO9KfYJozC/RmZW/4lzqXkzrvMtIjCzLnQCLhxaMpevTUTCdrzOxRQJ
xmx4dPE0/jU4A/c339kkNb53naw7uyBktY7bBnP3xJ38kyZzsqTM5Ok6nGumxcnfXWd2FsnM7/p1
ls+uc32Rl316m1znfe86+2tXHcC8agIoAoXDmbdqBfpVN0hWCUE5jTWd+1VYUFeNIVnlhuSqPJg2
j/IY5+UjbZDRI+/95bAMMK+odeUxH5RL398nbmL7nrLqs54ra2euYkeC6mFf9Y96BRXFrZuKo0qh
tb0VTR2zITNhuG+KuuVGuFC9eKmtpr+3xwk1JK03WPsSdP14OumFV20tXSp/UMOvjLhKswPbkIUo
Kw6t21YsBHU0Xvc4wkzYRyzR3mtEiSNadEuRmiyz6pAQ5aewp6Dze6vLGIuoPWjaR9yBWDqh2ANv
7a3CeRnpVtMDHBbkNop2gHiZuw46Lw/a28heh7PKUXRUK4/8RjJPYb6rECJ5CcXyQZ/D+MvkbyGD
FI+c4bv8vunptNhA21Y7/Woo/2C/b2T2HSFD/ZkLLidsugxc1vs2PoVWNf0UYTPv5Ozkx9aAgXQY
vMq+MDS44YnNrflF4MEKcoNxJuCSgb4ZLx6i85LhxEKRBTJplrZtkmsPt0XegKHxeMXIC2dWlm75
MBsNOm82fPHxlTcqy7t6Exs6T/fBLqNDyNaUVtY43406vTO0x4riztS5DG2JIyfGSXlQE3ZMxLoV
YBRLmaoYb6TPkLuQEcvMX6LjAeYvXc/8igxrr8BKug0ZlDw5v7SholSbbgxWEgnQ9O+hacVxiHvj
o5hKNwBj3x6ymmN+MWE+bQR4i32bdRi0SkDQhXAjLC1sAymWBKlXQfGT6petNeFd5GATk0YbYzB0
8XZFRDUphkhz+UCYuVKnpjJBCSkvlPClolJuUUsRxvsxghg1YL8zfTxI051bgznxoy4hX+tZLtnt
6CVe3cQbhE4YdyX2vqJenB04LHxqRK1O9I0jnNq0StRo0vfOgNpcs9ls2fULArIzrJHHFkIDglfv
rG6FRP1OO3TunWd6XXtwunI1EMbddw2n4A5+M6vFwtRZ/IkqYi9j4uL8tLtRD3JeB8JZNo5rHB9r
RlnewM6VD2wsIe0TOLlgQTpHjic6OoArvAxNQReXLX8rdgf3GdFPiHDleB6p/E3MBipEmnPjHaT1
hiv8m7cbwMYCcbuXyXc+JMVRkcMJ8sTl951yQ4YsfWsXdDgWQvEXGqr63uUxvEu6NvrFnYLiTQ4/
+WRnnzqpmi1ehXXhVFoBNZ3lFgy+OGalXj+FIDr2rQu3joMzqCpl7Y2kdL7ZJRuHUG/towURZCld
Yj+yhx1QU2y0S+lUeGqpn8Hi5OpfOD/LM5yl8RPOEtynMAP75nWzPh3yrJIRBYDG+HvpJcu0khg1
jFbhnkDccOlqUB1zf6Ap6JM6aHfeLrIRNH1a7aGauNNngLb2aVqPByzVjPtDnd2PJHluqdsR7UaM
+Xwzgtj2kLG75WdOFXaIjBskdo/CfabwV97MZp1Sd1jazMQ5YK060wOTm/xPrk3tvu1YXvMweW88
INqbpRL9RUkO0U6mVerXlhDhvqi86ACCeN/kLuXxQL6p5qgRPzJZdy9cd0lZ57Oq/ek6c0x1FDTU
aP3pWrEHhQ97ILS+5cPAB/5YVsABNgj1in6n1X5S6gRfEsFxiXKzF1V+HM2o3kMTkHd9RmJtA19O
801RlVx2tIJ1fQ/MK3I6gbmX+bR37OZ9bHXM7DMuY1044jH37O5AF8H0kONxIXMZFwAkcPg1uaW/
s7UkAt4D6AD9RelzOZs7fHYGnveR5gMc8NxoxH3crM4jJ0lO7GM2jTX3B2tyboHdjT72Zfs8C9PY
CfqswbNRV1lidmJGHhI8ZJG2HXgY76SnJz6c5+KGgyrd8pFx31jfgDGL2qbx6Rth+2xEz6Tw8Fgl
JGmfpZzUblQVu8PG68UdjmsXKGsq58tIqG3LiUtPlVXmu7mLmtOyRDVxWiOtuy1qGijMWH1o2Lae
hWzATkzNol6WweO2F2XWWzOlNFsWmc6rutBhIXn92zLqtg4ejeiEZyDf6mM8BoMQot7bS+Z8TWX+
Cfw1IWUNcACqTPGDWSrccz5Uj80ysmVKQu02t7AX2CG+7ZQHK2aJEutGXFd7MYnBh56EwS53bmtB
vS3I+IFmFY89ylqUJ5IzFHGizHrr/uidda/BBPDBKixcyML5XtqzxCrcUb6LvXOzCicp0NJ9PKXd
EZQD2tQMPOpVmoX4EPTJ6yrmSRL1ydlpOppwmDdg83GxBVsr5q8lya0XGNT6n2Pba8wDnrjHJrpP
pVi6W1hW2XiJBxgmfC3aPZb8dyMMU21Zxk0Hrt4zdT5pcZ8pYR7g1DbblkX4/EAzPUzWmdoAtzPC
DSkxUr4TPh7zGOoOW7sspTcQ4u7YP+gWMe2NKA0een8F1f5vB7r+n2vyNG0MSf9prXD3naj43zYK
f/+RvzcKzh+2JNIFG0BnlEa9/2/4mmv8Yev8IwzdvjZ7/i/4mmlSRHFdGzhc31k5IPP/nfcynD8Y
/CB1gm4BoGMJ73+S93LW3cS/LxRc4RquhXLl4iiR/+yKSAbZuHYF1IngZUNVUEEYF9edpl9ip423
raPoHayNcMsFLS62Zl6EN4bkoAjRTc5wcY0tVQoFPH9EF/AYNUAq08TasHFDSBJ7sxTtZTISgrse
69Rt1HWuQT53bE9s8Zv3JRF50Jsc0YmV87GgCu3QFwPxc9Wv7seovEtsx+42TdQNXoBYyeWwQEVC
JZ1tnn+m3fIhN93cPidTEnLxhaLPdtTSLmPaZg0JiBY/dOFN2g9lS7CvWM96X4nXEqfRRzxiIk1O
FWFJru/ZUt24wpJvoEfQMjFgYkRcWyOoIE/agWYD8EIBHs30Ne3yj3HRk0vSJs9hu6AsRcVw5ELV
fkKuj8+22cSPYdut+GY7v+hJau6ngb5A3WHcZ5KKjwONTUy5+rEjFrKjsnTZevzqtgaPLTbdtFiS
/RkfW54Cfua5F5cn+JlLd+KD/PzmkbZeaFBtsKilx9LgPBLOMP+alkrexLQ0g+bRQbb6CWVMUApc
yzplFTFRn8suBnbVw5FGbAb1oK0RXGYGDW0zzw3u1PU0YgwoYsd9MaJFv5ezmmiEzHOPoTUxFfa9
lVCA+ZgtE9TRT3pTx+Y4klQ4yyjC+qVXwHOwxK73vsZF4ClaOh/PY23kmNS4y2IncOyeBUUdefdq
oCPCl51ju7uSU/VECUfqE9AucCCELuXsEf7tZIfcSPUT1CUsoMq8TQYt/aUNvUlhGp2YjOfV+iMN
pAghkrzU0FS2oqOpMFPFcNcZTs5L6a10aHtyuU6aYzs8uQYO2U0BH+6tF6N8rWqDabceW+PBE568
k6bN+km0YXXoSfMcCs8e11JM/LWdbkZfjUjSB8UMtGVxHjVs+ucZIxk/0rBDR6VSfs5XEyOEwMcY
1vKhczL9IHG87DCKFPiGsqE6NLVTXchvdKxwnsw2gYE1DjsHK201QrCqsnm47Tt+xwZRiA/MGv29
qNqBe1mMao9WAEab9rPZgEc6LQ8Z9xLcpBq/Mq2t/JbkCf0PRDL2FJx2fKrnCUdt20ILwcBB+ULd
mi3PRo9qLF9j5AxsCGk/Thp+4DZqb3C1lZex8aZjVI/MFyk+k0OvCvsGizvhb3ZeasMmP7xLFZ0s
hEfC8gyBG9XTHI0E7J2eOA9lkqtXI2vjDtNo7lyUZ7Tvk2mXzAptjdPCwbJzFnXYT8fRNVWPQz6S
TLmD5c6/2Eom1hOJwzFQ1O5+U/jEdZiwl5T1jct738OexpbdeNOieJqOcbpaitJoAHxSWXam/wbL
Eno3JZWFaSCoLOSlqDKPaJvjUmmn8eXREob5JUYPCETfFW+GOdF2F1cJFZR6lqVMgqJn1us5ptGl
LD3b0gmRvzFjjPvewybjw+B87Rt6vw2rU7faqJcveSsE4Q1TMv+4+aR/OwDg4DqG+aU1qwx3rxbu
hi6Fd8wyzrqrjGn+KtldfeTtRAt624nDxKeIE7aOsBh29fOYmKwrc31hW+DndM9+R0NXPSy2DH9S
Tc2HDIvVd8tlnmukzhdGgzEiKGAA6vdTZAn1nKAYur7tKDcia1u50+OsGrR5R6lJ7hBSFvsYkSQJ
OowP4zZJkasOoTllYVD0Y5FfShQB81hgxCq2wkzGfmNk0fJM9mkNocbAOzc2VIU4UBAc5N5k2Ttg
jvCyy0SmhccL/J6afg96Z3pa1RBRqv2M6wiLxQo4yKO7XBX5TesC5tPsaZo2NIdhsuDBsylGVZ96
meLO7D0K8uZpKi7I0eML8bYIe7sn481im/WvvuXHAfTAR2KjRphmgdM31jkip7vsGqcA5wv5xkkP
WUQlmx8mxfxbt5t0xuM2e1/QAIlc1NdG6PraDj1fm6LxydEarV8bpOEaMBRka7G0chwqfICE0Dcd
yrV7mpbcCPv0tZPaAXqEbQzO4TFl/3Aca9MeL/naYk0Ym0+B0oozO7UEax+BcLx+OJpTwiwoXXH3
6Ez0Yqu81T+bbnm00dMtgixh/6RPGcYiHI6seijEcAa/AIGgNmiy8rONZqocMrgnb20vqOW2JVHZ
A2a+AXny2mqm4tVJTTdK5+vzOP9EdGi9CIJ7Tx22woxV+Nw9SUv3zg2fYfbGpv1oqMZ+05RXnDmw
7ZMC/oGi0EYALObL4uX25PcSkdQVGZGw5WR2a0ObMnLWmNfett5aO9zMhZpsHFuFwhzIS8m2jTlr
3gEm0Mq9ndvWnwTlaYWrrw1xFjWFLyK2hvWrUyGXGYWM9gkRk5d0Qp7dOZjOCd1VyBBbwjDdHV0Z
OKC1wfTe6KMsDgaKGBxKUC/WAT/yEPrhtdtOXnvuigKvaaAyBdeGwtG1Cw/qVbd1B5VjB8/0u/ba
mwfWD/9yO1CpVwmP4Aip0v6jWSv3+rV8j+oAevioylJPigX6J/4RevrEtbOvX+v79GuTX3xt9WN8
Lu74qZtTGGu6OsgajQp7b69+VE4TX0ChTeQC8PFs51BR2u1iZLWc2Hc1KKp+rMcc2HTraZiAu2K8
OJNeLz5pK9J0kTDqb+wzIgPsMlQnll9W7dtj8xsPTH6oWW/97umtIJg5QQgiKK+JFcEPWKWGnrRC
m/Tog5Lj9kawSn7TEioLN/qs0stgVC/u2AiTOTeJjC2Fa+IMejzdpsWQ9qRNym/dBrsq6HR5X8qq
OrbNungaEC9up4zVxyZmziFMhyO6QP/C14k2Pe/KrG/uGW0WPvJhpzFIW2mMn7zB3Jj0WdvjyfQM
YxcJc3yf44JsVZaRWt9qLpEGzXajl36S8U+fd3BFwmHMq23VVwvCwFLiBZiiogmWrkUXj0ys6nR4
4BHDeiO9IDTTdefWh6+IeSVjeoyqIddANZ59nzoBKqPmeM+F9JDB4qebMiW2wzxJJ4m+YMbJJnAo
lruWvBeoJITlOQITFtBvY+JlWzvqJp/nPg3zGe/KU+Ra4aGL8vqmYiv8TOSA5T4W3QBs4vThAaXN
fdXqzVfESovgbhxbv6eiwsEybMOsWj6QMH8GNsf4M/XooNB3qeNYvR7EN2gCWZNoBGyQ3+laTWIA
PXNszlsNHui7YfM0elsX0XRITZa4RzJ2j0ui8M1bbY7FOOpqCjxG4muUxHhl9lVHYkIQ5YAIKKzH
6MsaQCOZVnn1oeVx4Xc8A44T8KLHykvG17AjH46wZI7octwytbg8U7GELaDpsHwfNFW4hIbZ5RSb
0vTGZ0I1xGFEw1+ahtfiy6GB6t2k8lUEtPJoP62tgQDAD8bXntz2gRNIp7pat2p2L1ml7llzeje2
jgshMDG83kMCap90Q4psH0r87mxfyuaXTByGfFWn0Kq4oM0fLi7139gp+HQgXzbemQ8eF8OkjKtP
T/bqWRiDddPblnlfTIZ6cS0XJ6xV9+inViRnnrPk3vwBeX5PiGk68O4Z410R6/233c1ecqiWxDuj
wIEk1isHS3GK9xdj/WwRsEsV2oq54pXyvEBm1pQTvZuOKakHG0uK0/p8DUhUFrVoXNmMT5B7/cmQ
Y3QZKTWBhequV7ABwJafFwtdJLluwQviTgiqyJvVDa5o0kwswzAuLmjH3j4u7eKHQ4K2B0wql9zV
UyuYp6bc8jsj8jW4yeTTFRZnhCsBdLPIqV6VTIczH1bbT8gv+ENtGScDECFO28wmpdePW05V0EOO
ZhoQvWkbIRu8xo2jZY5e0ij3viN6AXnRY5l9Tb1Ib9paeCZ9hC4NO4NqjS+rJwaIykYwU8sQ00D2
gPAv6y0uk3MbztSsLWwAPCvO76x0Ke8rR6amTwWcZHtDvydYs/Q4tqr1BYfkp5frwKPcXvxKSG5+
TXlTEPh3114XMqhftVmVwTLl0ROG+OzdDAv9KRkj5j+HZ8gtFMpw3BP/VQQdHBO7Gx8s3dzhOMPp
k7QtdL9IbKdi7MALaIcRTLZflk+sWnNzQ3fZ/AAmDHqCXVtD0IN4Oc8RCjnkuy4nbW7Fh2nhchGA
q1xW+UzF36xduSzCaNg2win2LJ6WaCeKMj5H+PzupRHGMLhG7ZlMZv7EedHcRBY/BjcjA+9VFs+k
aXjgzviJn1nknCQvaMj49eGknLaTZ0dPTbW8/Iv88b/D+/5TUaCNkw4KBxlS9xy50ub/FSCD2bop
LDT/fQZN9aEeEb/smKp36tKcE4052HvKKQ7+8zddMUn/5ov0HB1TpON6gHJM/JH//k1NyhiW0Mmm
/RhH+Q23jO4ek1sVWDrWvXppgX/PszwqyFo///k7r47Lf35nZBODNI7tAHKG2f+vP24txOjkhVr2
jVsDXXIdm4rKSmrndrayBchiWH5fv+P/l+L+Dw5fk3fUf5Ti7vsy/fz6V3Pv33/kLynOkX/wxmQg
My0KUuXVwvt3Xaz1B0BX1DlXoiWBOEak+xu9ZCHFGfTEeo4rDCFXKNN/k5e8P4TN684f5M0upW7+
T5Q4FL9/vJF0R0hhWiYlDYJ/7X+QwNZcvyRqW+77flCH1sh6isolNgAuB/dActR5bPQ5yNmmEyxm
8c5JEB3bCXikp5eG3zNgvrrlLL69Fth7YzvazkF7RCxJp7OWlfGWW6jcMIiGmC3QxKJp+ZS9TQow
CaweT4WcirNGWXMwei71fRXhttZL0BQ4Q7kevpqV/Y0Tn/5SQKCZqpu9Cfp2bSSEptLUvePPYGEY
Ex3jJReJ5oKAi/MTU2RJI/a83HEEFL/7bPVmulJ+zQnPOr7feFd7s7YzbQ3zRE0k9dXUqSZsYf/6
9tzD8PXC7Jco+jyIFr5riMmIfA0XjO9Bt3CyNFX0ZhdqPGplZQWooPg0y+KhTjLMPnPcnVJjLngW
uNNdr7nuvooFrgilmLJBgEz9fUxE46BlsjxX0djTQKvE5MsSYDJEafNlZv7De8aOPLWiWxXTLGSG
Q7XXCuce7WJ46Tw9+mnypH1P5Gg/UJZOdY7uepgJGsuf2qreFjJMnoa0MI+eOb+mbFTvY8xoT9TV
iCPrJ3juRZjcgMUuX0c0VdQGCrgnFaF8RZnPaif9HNny3Maxy0zVJIbB6nZ0hifbS4tbp6aM1Cbw
zOKi91Uvm3fJlpKpea5/yyX8c05ndwkcb3qLaYDMYnHqezPbJrVhPAzsfLcJzW33UOm9d1tO9Q31
XPbZYjF57Psl/0Y8AYaY0dK45vTE7QyE6Ba7KTcOtGrxuxZ9Q5QSjKSaePBQqTiewBCHtyO8iAO9
SIQ8DdfAxaaZl2Z2fsL2bJjvcMp13EKe98TcW51yoVSwhKUjNmba11uKaMA5spgtaZ8wYPuR4clu
vXhRe09b5heTWnkyf2jCkV1hWVHLfJvPXggRedDZUzZDEDFV+WCJxqA3eIG4iJgQUkecdyRJanXQ
45AIWklxUa7JP3sivJCQybQ3ZuPtSPlMfsyN49jxVLiVnvMCF6sJPNKIu4SOi52aW+fZ4xqPgl6w
04q1ZiMVtWm+ALPIbM5UlLbMCM0yk1QpNc2f5h7f7YwRV4Ln3tpLwjCDoe9SyGo+mE3v7PNULwgl
4+Wc2n1hlWTu3KW+hG5oByJ1fdHJzQor2C/RsKmLhgmEwkxGUX80qy8Rz3vu9cmZi7q7qXs9e2D0
T5ifCRRmzDo2ng3Yt6siA//77Jq6+5FRNT8wVJXDg5E046Ms6w9bFl8lFWdiUTeqdH6n9LTdL2Hm
Hmpt7VWgfZDDZ/2KIN0tfzTG3K9ZzSr70aUxGdJs2wUN/rinyANRTikS2OwEoyWtxN/UBd/SCzZt
maxK3+glfWqwXqFgj0i+RkZvUyb1OzCinV/NpXFGce5ObNTtbd/Vzk9Hi8OOcj/rwiTMh0l32EVw
2XyyHJPf6oRpxJ69yVcs04gZVFA+l7zcusbM3IX2Mr1FMK2PlpPG2zxTkLZ1pzpNpCTWaJTaD1U6
H7NKkFsylOLysETLPuzD5d6NFrFjTKBO1cJ6MIfzRHkbr/acwdYSAIloko27feY1rAhDhyqbubf3
Zk/oZGNLbOUpzZP839WMcxxnTUFqHmpDFb5xr198UkfgGbwReH4zlScyre4By3v5RQSuw+Rg6j4N
g/ojH3L2iexWwk0+NpJlKs27L/IvWOnKLc2uCNPQjsnGAbtyKVGEcp8OzPQTAcnvySterLFptvWc
7LXcwFaXqQNilBPwwBDvQ6k99GuRFF6YEAZyDI5qVTzgrC6uTN/B7S0oXW4KEKCjXKFKqZBqcw/v
9OqSsNpY4S2C3+p0zEW0Bif7rhT6vXLybaajacWR52OHG2g4dG76lG5dWnMBQFn2OV3gYrM5eyqX
YTqLKy5WlHb3RFw9WeXH74xx4zBWkRGExBHiMnlILUkbV0qWYVktGInS7V1XjcveWtm0luAEFyuv
diI1S/B1GX7Qth7iwXlJsR1ghOULwD6o5/c65digZqNIxWGQdI8i4VAe02G3ycOWLLlalyvgc3Gg
i0ddAvLgq/u5OxzCIfroMk79PHnmynpLw962WjG8RR4VW2Y8fSNWSG88gettV3Av5n376KS4i0N+
8jexAn6VlY5B0rjZkafEoezC+inK4QDPTY/1xBhWPHCxkoIxpEfnRs7dnQPL/VzBF/9hQUEyDSgY
j8GZjc7KG1YCZcNZlPeoJPQbgpZbqffvPaziMC3Wuofl1iiiS0VPAI9ZwMaAwGEce01SYRlPOVTp
R8PSCp9itNQNmx98/Ni5AUIT200t0ILpHhMLI2qT4l8khkl39NIdWyI/9MfWtJJj8OD/+iHp74kd
VjZ+izmYgCcrGpubGgvxZNHi6MwhFjhYFGMozLO4spyHK9e5qsbuc+Ex9JPiQcY8AwXauAKhZ0qV
ebwR83kmskuo8EqRJhULUXrMk+ZhHvQumGvWkdqKnhbdml9PyPy+cvSkQVPTI6KaEgq7OY97fUVY
L6vrqocF4FMTJ5+0LJ5wgc5LsQfGEsaBFavnGhljUo1752qirzcEu1+JS1CHXHFFifT6J6+n6bku
MGwyz8tdb+c8vS2r8B5YvL5OznBflfSvUfxyyxy5w0gNlcjq32mne2mXAgdqmVkPhvCqXblyvXns
AdS9wr4RdZ33dCWAV1wrIpH9TmN7D+LmsCiAaYlzGLuxR43FCRcsdkE9DPXz8Kuw6eVodFUqID3q
1CWQ3cSf/5jp8W8eaK8sxb6VsPdYN8Qt+IpmFxm258u05r0L8o7nLrewMCa3I50glct8qZWt+yHr
oMCa7eY2FPEuRzKM/4u6M9uRG1m386sc+NoUGAyOgO2LnKfKGlWDbohSSeI8BoPT0/tjtTbc3fDZ
x/viGPZNA0IrlVWZZPAf1voWvgNPbYLY1tfItOeVVzeIxgwGQZsUQ/sTx69/mWaFIbfrDZt+PoAu
KKg67fhKZHtyxqZrbJJ+kAdkJ+Y9Vdz0WKX5vLP7wbkTPirlIv0B+5vnzWjrs+aLXje5vnHhHp2M
GKOGchy0bspSmyW77xRayeIzgkUtjd5cA+F6JwG+hrMD9JfOnUd02LiwN9lBNModN9UcOxc1hOKO
8rs5sWmyDjVkL2j46bkwxuZNYwF/hmXqbwCtx/ChJwNbCcvuh5bG8DYIBeaztHr3cwIinKCttwNP
H1Ti7pEVHWiBpnttWB1jGXE2iYX/eSqaPZHM6Sk0hfHiJIX/WhaDsU3w03wt7XZTuMuy3ZlYFJLE
Z/zETM0SJhHuPXGe0XpkfsPoj2HsCRZMfuga1nW6dw/Yllw+1CK6AEBE2ufzkMJ8spFdqV/quGsu
QAnaN6IG2CQ6zTJpdhuDg2fBxQ0ZsB2yXbh2EiSrUxGuMVcA0vcwQcxIyPZ1r8Ov5RQ39+je/U0T
Y/6QbU0IRRKRMSry4aGy8vKljVr4HPiyFufb9IAMy1z1SZf/qArh7QkoKH8FDF3241AT4N1QQbOh
sS+WsAE1zkZZvOOnBrDZzykcCnaFZ/KVk8coospjDtokz7BkbY7amrW9DqOryE1zH8nCvAqwEhuc
/+SGxEodwyWhxvTK6FtJZgrqWLK4wHIUP+xGB1doJ87zJASSnm4g4F1qQPmKTISM0fhjRazvafD9
xS4kkp6PnnEdY+KElFisg0otD9cyvlepvZtbJ6ZgU+qZ/AE0o2ocrh7A2LU7NOXVVpBBCqRm2zkM
fw6EW6GdI81gV+YTpdsow102u/6bGFtWV2UhH4bZVduxE805UqlL/ek6h6lznG+0rM12Jnj1Z91h
xgxoAI/x5Fe3bpQk117EycGxsZV0dtmcKhmYPDXsYAcwlRmbldxlxkDyU0Rl7qPHZy0qGHIBUbta
c3tbmLG1KLYVtpGuOJG11TFqs4Jjx/D84gxt9otftNmGAWFgEL9swEYd7CuEhb+ccP7oioyYWLjC
LNj9iK0vIjneBW0tEd5UjGV4DuPo2mcZlaMIbizyODeuj9wL/ELygkR32gxz/lb5hETj2fBuas0y
0JnTXckubl1ZajgvTT6wnvIn1vM9TMjgXHXBtA3bmLwPcFrPcWwZEns8eKaYew7JJ2N7hGvlRutW
YAWtMsSEVvk1ooAP6eX658h03JXRmI9kQYc7O9z5Q7gXWZOdSL67Twd340UDh8tESW6aO+xyE/E6
c7PrIthSchpvU1t95/IcoeIUxLUjamUH3YJE6ABzDYFr79tZSJYC5iK3lFyoeUjUSZsiW8zjtzk2
rxHn5zYHLb3UBskOzQ6qwNqwtvR54QEBGWs+O2nv+zpPYBeo5tCrYN4aTloceFKkJ9EzdW76wr/V
82TvSWdHMuhEN70nTUj0rRmRI6AR/4LsgRaWpZCZSTolPWcOrBdycdfjsjJucqSjUB4iiAEGw9DM
OcTVJfN94I1RP1wKjkKGl8bYPyonLd+IxubmkbEICQosZ2MVxh5MRjNuRnNt9ul90QrjYbSdoiOI
wO7xvywhRZSZTg/mMSuvaZeKbzwBW7R0iE5ngrzWAOcbfwXMD1ouuLpXLefw2RIaomBP37LqEjAm
q6IkDgxCpdgDz+v2+GBcNDVjdprQyx+dqXIe5Gjbe91b7Yfbpuw1wGskbxUbRPYsBfTDuuZm7Dk8
+WiCc9iI6gi40j8E1sAuyyWylWCdbsM/YJP6YA7PvU6KR8AH9jXzLESFoqzmlWu2t5Lv9N4qLH4Y
LArPkTX8rPPU2tIJETRj9uKWcDsQr2PIllbKnrmBs6ytmfff8rQV28KGb0L1QU7wZFyMlCyFDBfQ
juQZ7G6iMRYBDypwC284ZTpIoKtZB96jl48GKi4LGwd67xuzMLfoPRBBRQ4nVh8lB3xv2SlowW8F
XfU0utl7WxOeNSXGKh2SH1lmp0evacnKa1lesiSA+z++KJof9NN4KMV0AzPzW9WUxgm2SHz/nzL3
3P+sFiC7+m/LQPUDMTjyrrj7H3/9o/rjz9HPauG4/+UP20+m+73+2U4PP5XOeSn/0O+/+X/6P3+T
4f+jiaZn2f90ovnwnr6rLn4v/zLU/ONVv4ea/heLiFbA8IsWEKb5P+SFbvDF9ul0XQdOwCc24H/N
NM0vQoCMx04Dt8CSiybxH0NN+QWtIoZER0rTB0Dg/CtDTd/9O69AWILJPIawgCgfNMV/m47jNxwN
xEVqZxbEpuyNcEGuWLlDtaeCyj1C+8AWz35dufvgE9bSuMSFbYqF4aLawKDJsUgKtXrS2gY5yosL
Ui1Z0+kAgPGgABA+8gmGSXVh6UsALkZ/gmOyxhu6PS5IJnF9jwuVRTyoLb1wZ3Q7QCdIyGQ6xoEi
QEHroqj3Lvnvb3Myko0twE9FW0DSVIAwgvHhmmUYXUa/d79LVtBbzAgDcr6AwKhMzDcNXqotFooM
mXdWbetGZw+9BVOrt0wDf9eC1DHz0P1eZF35arH+b5mV6kVh52BR2UU2RJ7e9NKX3C9wgzd4YYGN
DgD59l5fjI9qIfngNQDqYy58n2nCGFBj9HyTvj1CzsF8AKyTLTH4qU9A0CcsCDR6jJ/hEyLkfgKF
+gIf6qpv4aqsolLWtxy8DQeK0MFb/QklApDNFj75hBUNWbOYn9FYXoGSOW8+IGHQSUMsWC0H3OdK
ySXw9BODZKA3l2efFCoSa1n1i2MFlmFtL3Wl1h1DBzz9il+A8wr839gWuwYp5XfZafQhxCfdMZ+z
f8RCjF9RqUNKAOOE0mBgHXmqMZtWK1kP4zbMh/q5UCVksE/AU+GQEolsqmEFas7aeY4/aVBATDEN
zEGykAvt6kG4Udps+QnG537o8ruybuL7TLDo3oVAwg5gv9VeLvip9A8UFcQ5z8fZomFU+QuuirFT
355cMQhjzboTohW77Mk6kGGSvjtqYV6R/QX/SrDaZYHNHJ7vDBjQioEw/qimZ6lOxPZUrygOIXbV
PDSWRM4FsxV8ErfcBb6l82F8S93Ov0BdCzLKowXU1X9Cu+JgQk6hMndgyNSCBNgPf5C9BnruLfkn
CxavMnoI8IG+0I9ZywTH/5qlim4go9jh/FdFsQ76Yr4LP0liQPwqVvtKHpIFNEZkSHcee2hv+xxI
T7ESwi/fMBhnZ89bSGWiat0PjC7eRnySzJi/dacknEgOMkfYdy04hy0oPPctiFIQa4WA2bGutAGW
l/YggGhXW4AFG6slRGbs0h1DB70zK1BT62E2QK3R50cPuMCXlMQ4DV5NfHIvKfa1727v22dv6AFL
mAu/LV1IbqQJvegel9S6knQUUyfsd8/BsH8bgdZ1mVEtWLhgIcQ15TxMSCS1fWp7e0FH5fRtO1oU
/epUsfpOWCI9Zf6Jnms/MXRWNmt5yCYLPF3kmrxziB5R4wCjvj03nzg70EyokWMZiH49ukGNBeYP
/N0nCg/f2gAGc7TFxqotYHmBz/Z2xW6X25w6ZwLKYgbA9RDjBO+VbSSYlBfwnrUw+Jj5iF26cPlK
7nB6aKwIH63rVldMvc5+NM35OQ7wNrGVgPLXLrw//xP9h9kSDGBEqfnNmEuig0p7YdFXwcVHK/OV
KwojTwGxPvwEC/Iwmd4yPeVEN/qAB9Gc2B5LnMjaIwUrg0Vf/JG26Ae9SDXraSEYlp8wQ50KTfvS
LZDDKHfnRw4bp3hCtRy++6nhX3EBw0Z0qR9OKqqzV0CmrJeI/fbwcOaF8dIscEWQVCYzeOb7oLRq
6IuUxkCguL8vpmlVPzrZBDTXn9xGeOqZ/2x/8hz1J9uRxdnk7e1P5iOoGFPBlUSid9MuWEhvAUT6
n6xIMeAuLmhwNvYnS1J9YiXhS0YdoEm5ICc7q9bv+YKh1ANASmtBU+I5MR5tjrMCIUKDwg6aHHJO
4imsrZ7m/h0VmHQPyYK8ZCOABBrmTM/GowOJucAxu9xjpyFwd28F6WzloQ07O3k07WIkUpqI7mem
DbA2deznO5TH8piNFixOrHHUn9Zgih/MMb1b1IDym2H0xZ01CULemlE/5xBBkzuCKZkqEAhLqyKd
ofyWLjBQVJsjYXoLIhQIISSDpK38LTwQpuN9nw/eU7SgRaHRWcicC5JEnD/Yo4rgl3WYRnqN4qbq
SIYIHXYElVdAm1/4pU4/Ia115vBOf/JNvQRP/sbvPE4te0GgqgWGOsgsxNhLU2QVQb62F2hqtuBT
LcMiRFb38RMkd2Afwu+39QJcDbNOv6mJkcsqKhb4OfQP2v7lPjTQz3olfX8rbwHTPWgI1hvpNi9V
hIwUbDFcjhQRRpU44TnBnQhuTdk/xjglNQtKHLYvNF9dX08be0rAy9K+ho33Eyj69y6yDfx6ebXp
QpJk1pqRNdle0Wi/dBkN17aqOYlRuKgAZWVlD/JoIyqSa0ZeaX0cbHJQVqggAfVLw3VYPuWTRGCG
MHDejahYx9UY+z+qqqkATIhOPMe1b5CxZnaJcxiAwY1XRFjljxALAfqunlLHjmE+Lq1cBY8lZYUU
mItQNTW2Vt8QDxIzekZEQpguN4Ta5DJJjxW0+W2cpt5D5kBwdfoQzzd+rQ/kY9YvPwm7t9yXajPO
k/puNLJaM1qwk81AqKRe2U7oXj02K6syGEosgwCEgOe0oG0uU1oZxlcbljsplUOfVGsfoV65sZqk
n6/NYg3YFlww0aao0XZto7CTYtu30XisE0NeG0htCSg2GSHHE1qib6LHPAazVD/9JmSR5BJsBS+m
zo9FAVVkzYnQ40wdTf92nqFwwjNqg5throOLSaTPxFpRx9+LWkl8/q2B9Qux5vfa6kjnAEkzfTNB
6qYbCPzIfNn+4h3WKDO9Pc0U8SqdiTjuGKG62ReTE460zxCLRUtsyUpn0luMqu4pK9DvIxGiva1c
Sz1TRGGgyAJhfahmal911cWnHDMv8bKWjwGPh9J4jdqAdWnOPt5AWeiEAjSJSG+1h0FrJV2nA3Nu
xPNGZF3rXmjBCqyNghBCzWEH5bVdnn406NCFR5P3w30z3xALkFjrETED5mGswEMwV4RrSs9D55RU
R59ogNd0aHR6wAjW3Pe4aCFv4MiYtpq8U31hPzQlt9ixo5sxVUDDJZ7Rd9YDzb1VF+5DqEh7ZAzm
dmxA+plRfqEtrhNAJvzOMtfmrlfppmX+selJS1lyEJ323omc4axDPp51GIs5XnGMO8/ZQFXMkRGD
QE1MYi22fmz7xUvkpNVPqy3ga2RI4/gr8LTaLciwGQ607vJ3CoXwYepHrBQ+sGFzVTVkl3PbBKxR
siLxYIQ3KaMVDuiJjIg07p6z0BZo5HlG3+pqCs+l7oFLEfrws9COeBiyPlYbUQf5fTyPxlerMYNn
qx9xgfZB8FPL3vw6Gf5w9h3HeCMeEX9d2KTz/VCl+o3zl3LBbjrLXhe+SiGULvLlATzK0YR4/0I0
IRpqzTPmBfkJuRWYmjFBR7mZZkR+J+zpABSRBhNJNJVUyiZ7H5O9m0/wUBm2B/YNxcn1evw3VR/L
Y6IsN981ZD0iIo95usGpjZuJEME4Sk5z52ZnR9tTc9T2QnhM0pzgeh3kwa+encKHahlMLjiT0toq
eqlnO51iwNLxMLZib+JpIL9vamP7hPkKJ4mEEZ3uHNyXPTm9ZRUY71WrvMMEmnZh0cw5PqO4hMIy
rgGy1fMGkU3lv7ImEP6DA8+XtTxXGiypbBQO0KhQvzswdNUEsmk3dIB2uzH3thFhGsZ+LEmcl9xP
XJgz0u4L7vEaUbe0e3nFFETBSpwCcjrfeYL71MynLJxANgXUBHe5FnOJXXgOIuuS2+za9zFb/XwL
pkNvLRPEglzLou/pVHJMaKzByrhpmpt4riiPiECBXmWJurCvXSrL8OQI1ce3/uBpDD9JGA6HVLEm
GMl2ucev0xg4w6hJsNUSPr4PmsmROzXOcXJkpZhAgI7qtjhgEmLNT3zCpL4VMw73APKEu+x/nfAb
RnWySr0xEh5FUidD8qiSAasPikdowhbs1GQtrClhtxRNlvlNuj16w7ZrBw1lpl6ol84UXHh8E26f
+UKf7KkQAK4dBW3FtLJ9h7QY7UTojo9xCTb8OCXEOO1iBvD+qgR/kd5Utjd4a2beFdkgmaV2MGB6
Y9NFg7snCCYI4VihidnVGMYAeZShF57KRk+NBczWMpEJVS7Ae4M0c/U2ZpTbdTNOxU0OA9HDtobz
DEkwOsj6VJrkKh1C6ANIEZ3Ci595SLnqSAJCSZljDsOFvY5vgupMVF98Bdpqp98F93B1H+lu2pRu
vbBxmhDLganc/i5tguAtpbgD5DyhAtgofh2IJ20yzQcRsZk5xyRukuAdOp7NnsDrdh58E1hRfmuc
0WC/BSmLklUjwKHHWc0z0Q7rb4YcGRhjprlLAYOk4A40KOtMcfEEKJdXs+yhJI8uod5JCJHZQmQP
2h3Xzi8EN4Z1FBiljA0jBpyJXR5PH1PUSoniULBmQDsDraEBQa/xKq21G8kFMIUmqZeNYa8GO3/Q
keJsKskEOEcjdyxVS4jSJPSx3K8jI+q/K8/XSySZD/mqclvgJxOtcH5IVIvmVfVT9KwiGfF9+MtO
JEeQfzu5MrduEIj10YZXm4zZy940Nk1aBZD5ingkm601F0MQlIKGox93cWOpr1At6JiytG7fC6Ky
j8BYjXXueuHFq3O1UCZnQYZ05ID/mQtH3jp5JB/YFdv7pE6LY8pmdSYrjY/DHdwWyerYPfHJBwc7
iExeX3kY44ZZHWuzHN8jZUbP05R0LxNOz3QPwNo69VJ4kLSCCXWbj2w1AlNNEjAieJNcZ2EWIB6c
GsAJ+Rj5NdAasc4smfbvDH4xSDVZcPZZTkLXIsUGVgKe1Ib5fxdsVBu6zaYjYgz6IyyzfjMQCMeJ
3QTu9j9lbvnvWqf/Msf8f2NwKS3XZdL478NWn96LJP+36/sP/efJ5e+X/XZGm18kU0bYxpDvMEZL
BI+/5ZjuF3SVFpGWzCB/DzV/yzGF/GIHJspiUwYIfX2HgePv0aX/BQWlxatsG5MJSyv3XxldLirl
P8t6QaRafsB/HN4Nzf3im/54JwskUv/9v4j/2gIj0u4I7oRj/U6w4MGp0XwrbBkRfNkRSZKdbE5/
DJAEJP7pk7r7403+rdSkKyRlx7/myr+bsrHdeC5ydz4TWH78on99cwZLJkm02HlFbhAGtIQTGV08
rdtRjatFnMbMIiW3nAfWXtdmgtdNmB8ctdE2qEds2nFnK5QbmGeuvcMGZJxH50yHj+DeSeSpabn3
k1YFN5KE241uJ+ynIXaRCUQJYMi29u4pu53spl78JrgrnySTjbXHIuvaezPZRDOP/Fu7Yqe60a66
oXTNEnjLKLUczOQLMaxj9ark1YOG94TGgNqlJmXsvp14Xlu+Mp48fIjoQKvgdpB4+jxP2tj3lpGZ
YUxf06Rhi+ORQkbeGsmUuav3HCnOOWBGsF+ILsfZZiqOuNIwKI2xk2QH24PY7mEcUZvWSDR6UJAo
8txQx8Gd8GS4jxJqWKRaYBMpSf1vCOowrGRWbT0wuonqtWJFxAlu8KkpOR2mPlWXDnEX3VkTF/co
T3uYRpP5xiRF0RU5RjmtCffjpSyDhlfivuIMguhQPJZSvejGcEiRQkgaWN3ZL+1zAEvlEKWtOvSt
Dx6iMb652gxuTG2PLggRvDK5VtrCyZLCmsA2MXaHuRjHq2Y4xJeVZecel8SeyM5sbwElWxKM/epS
src+ImRlgtHHw1Mkq3RPp00EZkv3qcge3M6ar1uJzHzPS9fcIvFTIaTIYtxnRnBbwL+8MF2Pdhkc
qxtpULRanlPi3eH57RnKPwhSD7YBd46zGTstLlMyxPUaqxj23nQIaySGCDPytphBRuJujDycPSg+
oWDCk9u4nVYvbiT8Fy/LzJs6rbmmI+fsiwY57nKd40PP11Tl9o2c2uCpx96+igvdbaCXqK0kOYYB
RYDxPWriEZSXr548RKDBygH38uhH+InBjLjQXdcECKHzgZ4qCF6kzvqW+lqKXU2InMlHbJbNJlOw
gLaxGJxsZ89zwdBksOx+h9F8vvqlJ7+Xdtg9mLKkCvGw/O+nEvXJIEPvJ4ml7aM3qODrMtRGzRdr
4xuM9/GS6MJ+kmgXxWasxsbD/wCud1uOfdXShjshwYWG0exd8grAEAMejHhAYQ89YpwavtfTiCC0
Z/F6SVvRim+4eqb97DnTOnCEDwxvdtPvamzzu6FI2ZJHOn9SieWQ09UcVckkARrIr3mptot2HIBb
SUJNsRv9SPDUH6bISW4gLMdHKFIotMKaGXvUyB55K1he00l4pOpRdF/dwQo+0lCGR6Ny543hUAKU
eCjw8ajCwfvWpM0mQRx5M0Op2mJial9kmLOg1oNAvDM77+Hclzvi/JJflisEQVND+VAavY9wIhDv
RTS7d0ITzBjGIR/h6Kuv9HHVPu+VeSHKvXiNU6d5JqdGfsX8YR9jxdy75hEebpysB+iidTbsa6XA
VjCnGNU6weXcfjDDK6NzLNuI/W+a+/ZXC0HLsHV45Ws7EzdKK/QrDCXJRPZk6nkrQFbOB2wyM0C6
JJ22eOaI+YiZOARUtP4m1S276shsaDuccXIxshpBuxnTPnnnShunVRmSCEOMQpCYGyPhNAZygM4h
RthJyliN6WwjF6e0JogruHT1VJxmCZt/19gZbYpvWD6xl7745hhOwERt7o+N6YUvSkJk3KRGP5AS
Ug6JsUXwyG2D0Sx8p2ZeAhuRi54xnw3POi077xjSVYRUedl8TxTqEkAK4nYbAqp+L9OxvnZIM61T
XPjBtjemtwmnrbUhZC3cl31uPJZa1j/R7faoXqt4O3hWr7em1oiBUBl3KJenonzl4kccjIyS9TsD
D5KdiCFkd6SdhnFpM/QuokevWbI0ugZvvz3U4m2se7mMDTKxGONKe0XASfdmlIiGtx6EwheCoMzX
JgGsaTaz9ZHozlpLew42QTe3OwCL6nZgwv5Dybm6IpANUpSdxLqi7J6BxObz4iGP6NvW/LXkzASZ
UVpUe/IJnS6W8MHmpl9VdtfQ2Lb8AGA/skVMOTNtHATWeqCmJBGvMpXVSNDxspsrsv5IoYfBUOJV
jRxNVL0r53HnM98w9gi3fax7y3MHk2/1zKMnhCDKAE6vq7Gvv2ZJN58zpAU7vjJE2qnfkYmbjxdk
hzzwmI0HK/h03QliMJazPF7i8oqqKO8oyQFB2NwO6Cw8xKlQpIheiGN2+Z4k644wNEp1BPCw2C/F
1DK8YPhyLoJm2McZE58Ve9m0XON9gawZ1DJ+MEQgXIZ9s1rwI4O53OioGHHDWtvIDPwfhLpy3eqJ
NFkCDgL1q4VWyfgN9SAa2JFwC5NGYw3RJX5Fj2BvSEHs7o0Mv2bnjncxhJUHsK/Rs+gcsk6syVuH
oLYx0ccWM5CycNaxF7QXFUfxrfJAffBxGvZXGDT9Rw8jnHsmaT3MkNEEGCwmmxpnLfHg0nbaG3+O
LxjOt4wseCDrBhyhWdVUEFb81I+knhLGw4tju8muVmUg2gPNdLVH4RIYiLz7YezgFjIQNM9xCCCt
KLAcYtxnmQeFdrEIU5PtEjMq4c3ID7s3nA0tzG02ReaqWJCEdlrzfrzQ3fVh4Z3QGFd7jPbWuqhr
0o5xgi0LjNK/g4+NFsNVMIs3mYUplM6trs7gM/1XnnJoYiouKuogCqFfBfy7K9CzMT/6CeBd10pd
ppASFzpDLn6goxUX6KksrOskH+n2J2sHv9vbftJ9aJ/YwF3R9XRcfVvXB0SK5gUnbY+3mdTdep0S
p+RwtDqIXAOk+8NxMRgtdOSZai0jS5XtxkSy2tTNeg1aVvmUfA7Pw1on+qVDQPmCBynfemTpMtek
VHFXnbsEOJm+byfbtDHdD4KQvHsbXMSzmJfIoKZPssXhXOMLtqi+tq0yiZmNCgVgZ+i5n4opCO4a
Vc/XzGz7Q1t69h+domlZ6S3GWv91RPJrrkehGc1nPvaUYzgmNsoXEMh8eRzg9XrZwyQr2LvtzyBD
Gkgmk1Xgfh3S6REPF1x1KnZGd+WUms7BHKv2oo0gVtspqqpLnBb1r46sA474VJAZyPfC7iskiZqe
27U5xNCgOurSNkM+3JaF7ZLmyd6kxGvb9zOmbvIGbyNz9MtNCj0BoMo08wGlWZAgyqIgdnYOvuvH
vg1B64O8Jhwr7S2rPwVu0/s7geXh6ld5cNK9l/uUPeZIBeySoSkmOzvVaLAV1Zrl42gcrBcSI13m
jEHan4SNJrAQ8XiZOXQII+So+IpCoC/PyHiwGpjJ0AwM5dB9bND0tZSsgAfPMLPhEkAQGGGCzwxU
PZMyajtYpUrYk/iqx+DqspzmOwnaUzyF4UtOBuxzSxZlciFlBa+40w3RMa/wWCLJMn6aIg0Z1InP
sB2jPE4jTfq68uP0ldUslCXGJd0L33Z9Y4sZVuFcyO7ocJgfQpVb59lGGxE4YXcpUPliowmX1p1f
fTvxQ2iWq/Z4rXvy5DdeHIVEs1Ee6Q3oWecJGg/b2P+gHxN/d+bRZQamcD2JrdUXyGP+2o6x+IaG
nthk7pA2yG4l+l4m5SMDpFcZFI8wTXiweggLKTK/KQTof+ie/hAV/W/6QdQ4f2lFl7d3TdPHRYVd
zzSX//+nVjQLlVVkg9FtQY02K/KIywsffn7+513nZ0f75453eZvAWjpOk/dxgr81nZOae4ugB3QG
Ecsk3QMXXHuGNPyDHeOmWGd9XVgrKwBxWvJ4svAVNhD2BfvDV2A1DjmTpb64ddE9ZLhwbpaPbO2i
PwKAg6ECIUq9TpYJKAHjqdfdMaCtwt3/3VHLXxRj/x8JyYQLww0g5D8Vkz39zN/L6L18//NI5k+v
/D2WEV8+s2oCFpdSMidnOPF7LON9sbC62gxsPpl0ixf2H2OZ4AsVAyIvBN6W75v+n4B1zhdKngBn
tA/gBInsvzaWCZab7c+Xqes4UrgWMVx4f6Rt/c1enmR+orDGRJQg3YPL5P1QdKO1rqjJdoFRDD9T
fyrRfwfBASwDqbdjrnZ97MoDTwq5C4hMNrc91yWgEfq+e+LGu53AcnjsFm9jnLO388LIvZFAMo/M
K6tdxyz5R2uF1W7Ox9Tjn6y77yoJTXWTLvy+VTsm7is9Z/zc1aW6aaqWRo98LoIGWm36Z2+cicwd
ho71b+QEBJWkJqSKaGhpX2yjX6GX+QiBjHPE+WdKyv4V6iRkr6q2cNcKN5l5xhGe27pofhuOACI0
Wrs90hSnX2Ew2fWakNmB5Vg+BlBACKsp1yV7stsMYWu1Tm3i68gPDZwbHfpJiWTEc76Wrdm/BcDT
oZl6SXesgzR8YhONLteCdEVmXuPG1ylr4ZhoY4TL05F/fNvxBHhuSychy65NzDOryXLVD9NVIHU6
0A4OH5VZFIzUc84rlSt122WjgROkBNA/5cJ5Ds1BXjopjac488xXoyqZorHC7I9T0w/3PTDjbSuj
6Ic/gVFaR+64/OA5rKiMn13HjCQqH6At4MCLSVgKzfmYl98hN0Pljk1KJKolix/SD1CXSBrKzEzF
LeoDiu/MI105rKBQ0HHJbo1WItlb1F/sE0V7tOPQ3/RqOIHGRiKrCYBgNxk/6BEd7ABLTCz8U0pt
NNUhiRHz8B7FTXoaJm+44YLSabhyfZoCl6DDbZR7qKjbYNOPitLFxJkczK178ECNPdeq6mBOGM1Z
GNSfhuEVLBbH5tZji0bkcTUx9xvkbYzZb4vLLjq4ujDPfKPh0TJUsyvmzPzWzPN8iu0ovIPgSthu
yoXaYgz+3mH/25lyVLgYMVpji3pqmmE9BODgwlTHd9BKB2rdtv6KGiXcRdq33xOhp3MCqJglJQkC
LlWO9Fr1Ypr1WxHj6RQexRFf07MKerSBpe4g3IBmTh6LcTgQ2HxXW8zr8Re7NSbJmbIDA+NKj4iq
4LPrAx7Gul5T22Xeqsbe/MR9AAgOitNDkDlueaDDSE85q5VX5Zn+E/v4Cv6UFNLf85cS3AajBKCS
tPn0yAa3ORDZ6VxNPj4mnR2COuZTyRETHZSTonLt5zL17atT+PIg2kVONBX4EUJvSH6ZfV7vWiA9
HcOHUH1HiUT1obUfPHkAFWEpJRwUaL7aBaPkTnexTdAPjQVi/xRjDuwqP7qryTyke2Z29TD6/gQa
ECDRlgl2/1YnKbrMxB5Ok1k6V8SBNGSDJDE8tvMG24EWD4HVeAd/bmAuh7XTP/kBaVK68IaDS0r4
9yBPiqeps6r2YLmp/Z3rO/kVu72UgLVEw1pvsuJ3EeY2kzMUqohgYs/DbADEZTILokRkWshml1Vp
sx+iBvnaIjrd1zorbxFfyKceje0pbB3rMSvIsGoNhHkrPhT3Lk40wcOW24it2aKO2WtTR7fzkIp7
NB3uHl14d+niuvhIuYT5VkNpPTOp6y4YSSUF09wcoI8u0R25fy3LAlkApB08UAxjzbMLjeRAoxqd
IeukF+FnJC6we8eI2hpCPJHTThwh+TrGlvvXu3pZV9z7bWQ+2MR11giG4KudqIaxZeeFicYJOfjH
MC8AuQL5l0dITrPGjbLGVndK2dlyz6foCJAC9ojejCrbJ8XQqG2W+PFJEk15GILyaqYtKB5hOMam
liORg0EnDqMvins37Ya1w427JeEv2cPoTTAfzeWjIqpq1amESUsS3BINFt0QcOV/ZDJIboYozHbC
qmZG713/P6k7s93IlSzL/kr/ABOkcX71eZBLLoXGeCFcIYVxHsw4f30vqrIKWdXoBuql0Z1AAgnc
1I2QD7Rj++y99ll6hSAS65qf2dxkl74HNpCWUcsG2/XP3O55D4X07qKwyVCEqSThWVSeywnkNQI7
eB2/KD7BFlfb3DLUwXZK782Im50XdG+pl9d7vvrx0cq8bdyIeGOkWf/lVMl3qmt/62ljomzAopmm
QjkHsUzCx2n2buc6UESTB2E4FNNGnvFoGSXb/1mWR2lEJ1MqbGWVN5rbNjem96leZNHIkupRRI4N
P5882VY5AtZL/jwX/gjekotNFdfvuTmJY163FDWr5HORsvIT12GI/DWO6c0gHXQ9ZLhx10ZO/2T1
TnoZe6NGYKnbeyXE2Q/c391YH1AP6lVJY8IK2aDDCQ71MqjEneW0M64vwI0ELRQUaJBVFZthv0vP
wi4DPBb4pePV6Eb5PolN/mdXOcWejpmTgqAHbNSlVIdaZkbwjRW0rA1RDGtk+vxWTDnGDHYQHzZ5
shCDy5RcyDz3+zK2GnMNDKF5atpc7edmCLgYOgFzQj925yKWWYHvDSoeLc/2au4M+7sAVZ1sOeJd
YGB1GzPMGJLo/NAl2HNrzTkAYhWS6SQ0RcZse7w/ZaW7B99rhwf4RXpVl2RT/YFDLIQsvmb5fqmq
4IFfi2oC6U7ps63h262jkIaStRUN4yuBza+Qj/vH7Hobxp6LGwfdLtOAJXggNk+Jx/25Yk9v/2ya
+KWqZsG8ikckzvkDOAdNd8RITqmtwArBC2zohgOgbYcK4lyQuZ9aZNFvdrnNSlrQfoPQpi6nMPyd
smv1Uvl9ecBqtc3RfE5ssLtrnUbyNXNx3xf4+P/aMPTe8fPUO+HPbB6WuGRyyFnAHIYypPyvZzMB
0oAd9sqlW/XKGQB1M8/6e9wZEAYZyF4TXJknQqPjqWE9ssGvbx7rwm05kHz3DkG6Ems8WsExVrxW
LrLiH9G45iGQrd7YmBl3umjYlxeWu4eTsZ/b7GXygPmwLt74LmUQta02Qi8VWhTpBeTmcLIWVCkP
6tt2Bua5io8ibgF8KFyDeRBv6IkpNrhUNrhdHg27sU/cap0jUXP3kBRRdXN5nlEwzUjh6oIlfFCa
u7pNKk4Yil5TnDyP3mxYdzKCpI/bLbqUaJVwhCPYWHkJmZziMJZ74l723VmI6a9lgQpnjxCZIwKi
59JBoIFNuJCzBKPWfZhVzq6UQ3NuZxnvjZl2XD1wqoTK6p9b0MUvEJZzWA1jvxus8d6ULMv9EEKH
GZOYjvqRSuRB2tssgiszOXW4gwwzxmvbHj/4of6OwpD5k85APPupme6cWJZ3Zg0yntebmLPjdWW2
ruvE39Fs4WxdCTmrTJz45Ee+/1jjeF9FLDjpho2yBwF6dwnURY8mhvS7AjMZtBTYYHQnZe6Vbyhq
JfKbuuMeUjyWUrjflNpKAghR+WCPwrp3O+GdOpW737R+hBevowGFDVbyywavcnZND7BL2pTJB8DP
9sJjMz8CGRs2QFH/YFMND35Je4500u6+dazgAzMwnUxpSXk5hWgQ6ic7rS8EDDHhKhggx6qQWuMX
rSeeHhhN5TyWO5odu0OoiP4arj890d6mqXhW3QkPebQpjbA82WM2vZKyLx/GIn6vsF1czajOsKAF
zcH262QzZfaePpEM9Sptdn6yJMPYpW2m2AKr4aecdHUkAThivyxhZ2EL8xJykpn7ZnKV4WUOAE52
PPCYH6t36Anu77DMsxPFdXyAlXawiGOwWc2yI9cO3TF+lIIFUNF5+KvqefwTTXm29hLOvYg6iw2U
uZ72Hc7x0QdJUPnNi9f28i1YSp6pFlw2xf2HUvI4y2zPmrU+WhBT2Ir1V07UEXWXkXdjup3GMGNs
TJOSQq5Z7Sqohz+Q5jrs5HVxStWSuUP4PtquZZ38EdOX0FRQjAU24yEO1qFJuIUQLnG1/GvoTWhz
wLmOacW/ihHWXJlDrv5MZDfO5D7ZEDlJnu3EgCctKgZSr9UStp8HXj5ncB4MN2D/FmfqipOuXMde
VX+afGCoJbV6jC5AEhKRUkFiacaJJjSACk/tpQApvh5lMv2KokQzL6T5LbPCmV+F1X5RzvEfLmPi
2OP53GAecqjLbJsXGteGp6yfsWA2pW19lH5l/KbStds1iVkf2Dz9JELymrz1WHDpAah+VaSGgFxq
OLvElfDMhtkuqCd094WQPHOT65N1rXm/XKzZ7wSSBj5ZGL4qFi/srTq2vRgDG46UCpgnLnHQf0nw
N2Tg79vwbixD/v010GZylZsQAyrjqXnKPGVuC78gZjseyIE/B6jQa/BLyZVkChuUvJwOOvDlbnJU
g9mpao+s79uPxqz629xjXQv9yHs10KbASFfRH3LpHJ9TVyJAKzfc8/bABCh6/wJIr77zaJT68IOo
YzZy3WNlMtJiCTc4BSfijRYKsHkI56UKsrQM1itlySO+SYpwL2hWWsVDhWcaXnWwi1Qa/DEp4XQQ
ed1pNeWR/zv0DM9fGWaQvdaMSNuapvn7lrjxezP2yX6KI2KSwh5vXhkXnB1ZyXahm4gqOeX8CFC4
P2XuPD4aWrMBcPGbrknGCSid/nycUSqeQtIWN+gRyd5TQ/1ec74tAFw6dyen2HrZwH4Dlx3G37b2
AN3QyCuipnpsQf4QQa969W0C/Xk2Sm/wV7p39MVzSbgQabBh2gLg+sB20exhEP9NspJetTjGZ4i1
yoZbY5nAMOyEQiGsGsqEsb+p4VZcRn8WJxUJsTOmqXjv3IzJdfYJSfF1h4GVV/dLNel9rtSSvgez
tKliWMkUWQt9zfy2fmC4Bu6Jr3s6qJR+3VXDIfokK8wmIGrc/Fh7RbAnLKd+pTUzLBWWWXEoROhs
SK0Gd0JaLAvyUr94JhzhajE0TzpbTKvYJCIVYWAM5x6kY+mJlauH+VQwnp0a2kLecSn3zyFT6GNH
ueSunlP7tRBjcgp7K/2UfsdZFA3zvTu7NXa82pR3NP5al1JTLkc414NbnLtHs+6xX1ATSYFmlXru
rXfoCCM2ZZu3wiPrjXgwj29OhgkGQFWoER5ax2y2MgR7b8za2toVy/cVjpN5N7HOvHCO1x/xGNWv
vd+4S+UkF4Og1cA6RfVAeC94gZ3gnwLlsunqelZNhiju2aAyYqWtpsHAT5P+3fJbbwN+N36gLFXs
lbZm9mND5n3MFjAZl4Dgqq2DHNKby9QJg43Kos5ptj6MCkyNnuStDW71gAISp8Z+RrTamRN3cH4P
Nl5sKvoFwB8FPF2RmzOakBftgdpUgMkttgplEGK0cxNkQKbp7C3xH38aFPMRI0gZl8IMvj02kQac
r23VkUk6v1zzWzPeGvhRE5qrLonj8pcV1OO6o0NU7P+u/vv/oNUOgRbF1TGR4//3drt1HN/aNtHy
puL/ou7++w//U911KB1hieCixeKXMJfA7r+pu4H5D5BMNJX7/6wc4Z/8U90Vzj+w41lmuDjvXN+z
+LsworQxTjj/HwjCRIlJf/KjeLT+O6Y7P/yvzjcvQGDGwU9GAtAL2uN/3nWYUdpn/HckzV7FYgdk
V60HnfLBBNI6C/KfMwYkovwYEXoZTSm2MWJiG74So8EusnWQtzxxx2ycrcA9wzroFi6q6/v5rywZ
DBC+UFPlyMzhLSRVXLSm3KmFr6rHLNzC/uViudBXe5s9M6nMnEwHumd8iEYvf+UuDLQ1ytFppVU6
/SZGOVxbQzQ9eiMUnpWaf8mOAONsHPKi6IKV6GnqZg2vznEQlvRZuWQ7pgrfCgViEpSvn8OK2Zes
U6g6JDu76vLZ/BW5Sf6+pJB/UYddbjxTpJ9NsNBq8wVcOxn9/Cmr0P09xqwp27ZTt4Eyi3VoZZSQ
iMXlZtMaWaVWJihKisrriEnmgTBGuoUlgHdZjGdptuTRCjpLCUoJUEDwHJwO7i4NItZn8APjLauO
WE4bJNldw93yc/BCfITZD8O3MuQLmhRgmPQH8pv8AH+lgP2LukEGdOEBmwsZOOUaeYKgb6zJRztr
qsD6MxtYWEkLVNjnUZ1tZl1C0EKfr5hsEK9imqLsDXsi/9IthOJkYRUzvJrhHgYZ4l5DQTLM+oVs
PIcWI5+rgXoAbAB9HPYLBtmjhgoovk0yGFq0vLQBhI4xBG0X6whrPUhJxkFvTLjpLmF6mJMVloYf
/DIg0fhga/4c6wfPjA4OqpmG4wah2KXgivimAiwShwwFMNq7r/oH9wyCdzxQfBHu/Y6FOx1ZkKGJ
E7Jd8H+A0fnCjm4XinRG2+dd5HX6OV4Y0/IHN+39oKdb+YOhXojUTeFOHzqM4fGQSE7oq01V/dtC
eMWH+QO1Bj+uflk+pGvHsYxoM9fwr9OFhF0smYcVtc6WWIcLKzvwyvFV/wC0QRwb312d0gUdLIRt
x4e17S3U7QA/Pz3EC4tb/2C5ZfuD6P7BdQ+L13LVLxRvWrlwdy9gb2NhfMt4GF6pYqif3Laaj7ZV
Lt/bDPzbDyDcqZGvV8AeTTxr7ki0hsTCp+TLtfxoBGTc+QGOmz/wcadnt9yT4YW55AInp3B5NN8k
zqJ3j4/ctDVhF2NwXKDmwQ/g3F5Y52QW4JhoBFtr5TfBgsJCLZEA0qNczB+DxHUQVSRDBvtPRX4f
lxGdQ5+uP9LD4iy89ZF+n03TxSOuez08j0NX38ULoT2DB3sqf7DtLnZ2Yn1Jvm2mUb/NegG8S906
WxGwLUkX/rv/g4K3AUthOaDkL5tsMJBjEB3Ar3PRgCJfLTz5HoTQCluO2ncLbX4WfvQaLgT6srX9
kLbm0FsbpGsFsWZFdBFwFF3cPxB70JELPXAABr8VUQZjU8QNMh/FPi+zH8c0oNHHsW1aGzw+R/Xw
bvBFsXaNIBdJjBaQQGEvWH1pLIj97Ae3j5u/uQIELIDw/wD5C1iJG8vAI9L6SwSs4wZ43/xg/KeF
6N8WWr9rjGprkApf2Q/4v1w6AGgL8s4sL2KqxDtmfBAyzYvZivQyB1AeVmE89m/O0itgA0H4sHof
RgCBc1pofioIwp86Au4X9MQx5vl/dBnkB1m0f8wmYecVLG0GHCUUG0iiT1/wYylzN1RHzzfDy3BJ
KN4ga+1ijMP2yj0bBttyQ3EAOxBLxyjsH4hLxWiDWDZs9jOh/p4c1jJrsGVUVyM4SacvDuqnmQE+
70PBK4X5pnZnIIRDnrV7oW0dH6qiFTsn8VqTbjdSHOsUhxTaMFAmVn0dqTl+e9PhhsbV8e84TMHJ
bCvYOlpr1KN55OEU5uWv0oCCr2f8zRuYjs1HwhaKRAdxv8e2VuJ1AsvLl67J4CgAJn0JVd+8w8gM
TkFKAmMV+y1iTFBL+6Fug/LBEzBL4a1C3gxTj4+Prymk3021lRXcrvvLxGA5r8FlytfQIkeNZ9W3
/pqNaQVn/oaxvfEwWyCyBFPw0Y44vTigBJbvNnaLQ+QI5lY1uN4zzyZ11xfwZoaoEjubOOpmxPns
rkeDfizwqgl3zBxi686gff0unSL/DS8OqKFqZFMJd2dNFwbjNnbRqwgcBtXZsoj8cBmloal57aSZ
vdTsdTbW1H3UJpa+tu6da5ZPYkOZJoQ4tzCfuVwa3yKtRjZBUmANsSsu/2ZKj3EM/uOZomn/6lfJ
c1WZxjUiJ7jB1+c3qz5Os6uRsr6STl11rHFKFyoUPvp4S3axRODnZYvXEyCyYhWR1l0+Cbld35Kg
jHZj1Ul31/sLf3emzyWGjXJsifoc8EjMf/LYSjaErlO1LrsqfqjIT90Vde9v68FLfiet+ihqEKNj
F477iCp6Sh6L5BZ1Eyp2MGRPgU/DFY72+eD2cckeeAi8dRAIY1sO3NynLrbBdGl4ihefFPfvPO65
rAWWGIOtmVOpvGPj6xxzST5nrbl6HDuYF8/cn5CDDBVfWDOqbUuGntu9TMl6Vj+1h469J8vNEgLB
+tnlaHmkph77H05gyglj/Fjbyhz0bbbS4RJoO0q3PBGoN6siaobNXpBw72p8vliVVq10/TtT9t4v
G0wt6USsr/sBh+s+DcbgfppN2Z4pPiKphH6SA/Hz81sN0vejm7LsCchY+Jclnu1zKjNK4OKvXXsL
wgQVxpqUAThLdmV+TUaH5k7X5i1eWcUQHZRuE5y9TjW9idnFREwF2TWrodPgC/NRBWxMejeP3IO3
aVMZv3oO3q8dKOzKuB9dFZ8dmc4bTZNJtLdjvyjXadJNwzGMfF0d2in13nqDbyQ3+v7Jl03DFqaw
HgYRC/Lm7kL66AweD17pS5bDefshIcAugQgj3AjZAX1imXn24ozv6iyL9M6f7OlOec3AUsA2ukcG
2AE2TNjH7zF4SLJpYDDGlZPF9rOZjs2bLdL6GmocYERXMJMRNCO4glA+btxG8Y4qMFOAowr/q3Kc
GrYYPSD3Bk1dp7AuKa6d2Yut1dAaWx9Y5Z8Zd6G1CZQz3doYvzLpiNLYOlPdfxIJTYNdaOtuN2Rx
eEhZhD/2GWHsf/stAUeU69ppcBj0/rOd0p4yoPC/8eW0HRSZsr6SkcCl2RQvbpY/5XGRbKhf0DB8
YofvbEQVXYb3co9bNCQAM5GnLW2U61VE8/IbFW2cIFE9wMb2HMp9sX8G9mvqRc1daFXVU1hV3lMP
JPHC5YXOdDnl7wZOjgV4oVE3phkYX2a4CkeZ797TM0tFnc7b8XeARDidqtHu6dAKLaBYcSmsfEWt
3XRocRL+iXKp9lEJ9pVww8Bwib24RqpXQXhPXxlJRE6ub8PS3reUkcJThREbX/RsBmrjFbzXkBPs
ROwFBSkvPUV2OwwA9G4j/j2ZYRHZu36qQs62uH+1sjB+8ieR35d9N1/nxG6/7aVDZ1JRiv2tw94M
DZasdDzpT6QtffHJmDyroT9bzVK1HBe9d1sazMbt4ATU1JlR6IdYbidyBtRSPwSZP2zMJbqyigFR
8z7nLtlz3NlZBjQypc2lbzQPjYbsLMZP4b6b0mrGFdZtcsdmwnq8wSHwh97q9jCQxrxUnaoel93q
mwqpYNaNGx5yyopfe8ucgMhNozxiINCYb4axguhUtvJohKSFjlnZmAfhJyOOaezxK1yT7e+YSzLU
YtWSX49t9kWUG0N5WPg9d1wJkOXUAJRzNIEZtTglt5YbM4dOix027sq63th1wcIqjVwMvqaPZFh6
dGgXxdK51mOAyRHarOpKzpFYF6ABXmC7S/dgRNJD4JbYQAbDEk+ST+ZhsLzyM6jm4vdyy275E2zI
e51jG7/MTnVXsPjqLRsbANI4fxlVOfDXro09vba0yz/pTUYMQ1Rnjcp9Rxky8LYEo0q0rvJq2cfl
Kj7gIJIPosIWTBioJs4KgS197MLir2pJ/PN1KfaDytOroRJYb1MOV1zNrnuWxDr7FfdK8zl1o/Bp
FCkG1WDG/ZpPHanxtOkZSKre1ieduIGgOsqhv0xqKKi6ZaGJSZhwuJ9DzeBQTkh7qFbz1tDzQ4P9
dO5dGjyBtww3PH2Uq5XJgggcSQBTv0zLorOJcWIAB3ZbYMxDmxLP0ETYAZX7PXc2VtOj4cRnLex0
pZC7v4rA8nYzHW5gRujQqrd+F9PRSdN6cgzxoH+PMqsuUmU8SQwZhY+N5ZsvhbvcKdqAFlGAg/DP
oZqpB6cDRVl4Lfwck5Vjn/n6WHYwSXeAM8dXR3iCsuLUqwiI9dHvliAWhUbeTKFd6DTiaCNzyjcf
rAYDoD+QXfu/q1P9/+pTtB1IdP8nIYus1E39j6u6fX3r/6Rk/fMn/0PFon5R4In16JcJ0Yv+XcXy
/X+YoS0sN3Swsgpmm/9QsWzzHxDKcA7iROBj6Nr80D9VLGH/g2Jek5/EpmjBLPhvVXksRtl/dSii
XrmW45semoxPFw1/hX/167ZlG3qqc/t9nbbhL4oGpocSMblmTZ6oTyOcs/Nghk29/pcX6vq/xkbx
nP9XbySNwI7H7tMlRY/stIRj//VP7jQ9r6Pb93vP6aJdomy3vgF85IKc9BYTK0W+TK88rLv3nOzd
vB2dCith4Od2B3p8ML29mdcoBRrt6CMidY8tiraelWNN3KMCBQ/A1HUUr7OCWMphEAvfDTgVM5Q1
tMi5dRVMnxDlV3Y7qZKdi+1/FOCNbhNiwmthpkW8BW3XP05MmfUma7EGJXguE24sEaXyvSW699Lx
kx1tLICEiuLsJFWCbWk3DTMh97n8JDG5jltalObKqjY6qv70ubLutBrSR7wk/ls4e83ejgxKpYra
4hbhOtwg6IWKXow+T1JaJQxKzQMxrsto+mbjle3hR+0iMnfHVowpxOz4GsSdv+tH6J9s4DJu4OVr
kmDKHGqWS9aAjz8w2PmF4mkqGuTsFGJ6XlTduApt56GsB6iYKF3CNuWGThF+UDXurqw9QOBLWsmr
4YqrUdyITJK/Cx2Sd9wO45xpwlb7Msp34A17VgmQX/CG7T1P6bV255z/U8VGlcLbh4G77h3hh/Y4
R0pxJWEca6lkA4hATwvOFNzWUhPxHxJ/Cy/f3lA52u5bZuSjMLXFjdV2j6jPkG170Wwt1XUAp3Wy
t6kZWM9EbymWKcUBVbbb0e5ME2qRwWqEYL9RZKL286Ag0MLzQHSxZH4sS8P5qq1eHjqHJa5veMY9
6wGY3mzenqY519mmpNMRtaRjSUTjYIy9ITXtdO0GcSE3OGeccAl5kFcbbEffAJkx59ezzftOeZ3/
ITsnuICwsT7JthRfLFvxiOITcm1Y9LS3yCq7M6lyzzcDnbP3iKHNsSXXIk3HONFNVZ/iuajeimUu
XJHEReEz5zaet8odEsqRQxoGIPhWnscGw6s4zHvuv2bkLtDDKgN2hKkOXnM2L5EUm74pXVj7kf7l
ghxtHPwqXEM1G6NwELo8ZOuta1gkjmbfCy6msmFE6WbqHwXl8ztHxpM8SVlzVWP89z90G+DQiGDO
3Te+XcXrBube0zQE5nHx5pZsaWVBzqMSzBZEbsHHoXKR7XKeK6W4ZASYhBk2goUuCYt9AOXi1XSk
FVX/GsqGHAyuWABc3iiWDlRHDdvAxRd4mobW+q6ammSqXVivmR033b4tLOcvu8Yo3KFYToprUoMy
upon13gKsCPt4AaRbdO0x3DaC2VjRYbwuLJzqrc6AT6R7TN1WLVJ9pb/2FzQEv+pw94DB5+mnV0+
Gyy1pi9PZp+6iO+wAu5r03B23QSEqehFfujj0H7wHIqKGocBsM1gC2PJuQtb5FBaL9mhsvPfFLPR
HtK6uS+9WV+b1PwiZkjlUaXQ7NtcHhAB6kvp+2z7GSF2/lTgUS385BpHRrsfiTif8aCJbctM+jl7
qt9N0C/uzSmlhofo13AX6Wz8WxQRmA3QLck5ZDCN+QAHUBnnkiA9XBLX+vRxRp5y0eXnEC/mSMQa
z7K2Wntj0SHnfTfVtHDKfUrMkbEMpJjReG9pigAZwObNs9wX+tv8nWbmfwxtAvRM5hiTsSD1p7mb
v2ubC90a+olD7AYWaEjI7tLbDlafDJtZOBpyOxQSC0obF1fDBNrOANoB7qWW+4kBLcP3acyqXbEE
ZCsvSd61RtHd6wGmwTYGUbYak3Z6CFSP4oFURZGyPfp8sogv8bSQnwHZ+I1RusHBDkBkAvxhVsRO
g/wpxEuQV/EZOgce3JHEMNle+GtDdt9HIAi5rjBji2JN4fwJXIp/qYUXnzrP/cvplNzDHqr3uWok
2Tk+KfqY2tm4riNQhFu0JCA0LMOscmNMjfpKDKhkZDaVeed7SAfgb1icbmNFdy5u0h7MVdw/JZPM
3tqEeFOODP9txla3ZymODB3yhdm7RLD6Q13jsN32fR/cE1gtXn3ep3U/WuqAPaD86ggOXPXYRJ8T
kGXnl24KHrPtXMbtpmpJp2NKBiC9qZkOWL/ijNwSpZ/BI8z2Ou3Mz5qQMRV+1MXlwurPfhJuRlW+
G4AGi6UQRMAf05kNDbwHG4E3tcNC79RBgNO4QasZyBAulsvUueeCDgt18hTdq/3QXKegfIxs7sSg
q9VG14VxzVv6l0YD5klGzj8JnJ0J3wVo54KhbCR0NnkEtp9uh8BR3Ak4mVzV066cSH4F9KDe/Gr8
8c/E852sgc+oYIrpmMwh9fRQYg4GIIVVIgHfCJHT35GPxGWVuw96Nr+RFGwiYkonqnikz8WVr9Im
FN20Ax+AaODxLO12NcCqoKzYmOOnYqyJXafJzhiibcLCfddOnbiLaZ7c5AYtI6bhJ1+jFHhRur69
5DqgopdL2aoaRyDkGkSR1NSz1D7WId6hYcssaK+1VZoY8OeXKMe9T1Xm0sbFC5s3ZXSBI083qq5f
BjemSrEq1aENKaJh1PBXqafafUWd3J4nECs/t4YKnClva9KdtXEBWB3YRdB5mYZXbLV8fQvhPIy8
71iM2C8J1Y/OnmKxZJuNyD6KO8rKthVpUM0q/My4oD8SrrZcUjG07AAO6quX1OE2tVoNb7CMhg8I
y/mT387m2Qzz7K8eXZxjHDlHqw+HtxTuP2ETNpq7wTUreLtjV26kb0Z/zXjuDp47BfjYc0HhRmpG
e6MPXGyeiRVfEZ44OTPZmydsNjCARGrfQjzyd70pxgcsWhlyel2GCa83zjkZFiRRe0rMTuiqdC2E
lns2g956BsQWfeeatD/ezKDY49FOMh5MVnRMW9M9SV5qk60e93JpGwlO61EnK9K9PTkH3Db7ggX0
q82qeQXaiS4ubL3hOha5/MKlbvZcA0O/4k0oiyvRWeNZUPZ5SGI9nel8nvelOfXvDp0u566ZSspN
GR+oKCspddIdfrrWNFnuUho9P2fpNH13qVfwNcVv/qSgFj+xXKsxdyQewIgiQvlltN+lUaZfg6ky
76O4LE8x8b/9JOBecvjhvF3xOZDvidM4m6Iwc/p/jPG5Hwrn0JdJ/2iExBpb4VHep6vgAuTNOlPb
7L8bAA7XDcjdd9uJjnTQuSuvlfcqSD3AKNKYt43h9h6fM6dgco9NDMAzUQPA2AmltvZMWkcpnFsE
wmjIoZ/Vb7hZrDosdDmhJurW0fyi4h6RJ96zU2jYQZeLBW8iMdUa89Gv+RuUQWm92IheLMqRE54h
nnlyOxsita4cEZxvNOH2Ew8wsuIoZlAbifKQXimpRbNLAB8ePS8dkgQyQXhLKZLbGsKChE8J4V70
NFI01FN9MbRQguXhZaX9NReSJMhU7gv0g2Pd9PqDL+38ZCCBUR8ylrSG8ocEhim2KY7irVtUEsHO
ltdqVOJ+0GY/3ipbjM0jmIwm/2Ww1vU3LY6fiJsIF7w1hvR0oPtBjdHaET1Cst+1dBF6AWKiSyns
U+EM8nmsreTvjH10jwcMGuU8OHLf4Yl6rCdhfXRV6Dx348DibFKCaoFZ0qOQJiQ/ZWHEX+PgpSfD
c+xb44hWsmtMEt6O2hufTAbUb2Xj9pdDhWupSMbmaVIWz4qZkD4Dm7Z4qrltI2nYyXhkK213RHkL
85ZFvvPieqanngMixu19VDWOvZ1TMrlbS4NrQBhW296eUmsdsNjqNmEhfdh/nTUlx9riQ7jpcOun
zO0aNb+YPLqzM769zpQG1qbiPDxXVhp6oBybGkYle0I8R/jHG6P2qeapfZp0qr6Wx6bq7I98HuJ9
aYX1ax2K7ia4ElEuWTdPynUeEwPGKQm7Ta2D4NxOkhAAn0OgaZ55S/14+C3LMD16iZu8pnNvvFt1
5QZbL5ycD+oJx1PfDtOONWz1IGbbe5SkCKlbk2N0cNJluVpnRybq+G4UznBodIc0x0t4633ZQz0y
vKsT12qHw3xvtZX/kPjpdGo9WocJsKZPpWM4l5A2pR+bN6tS+hMJuwUNhj1sF9G5UrPiieNHFxkH
vzsZf0HVHR/xHEdgYxtV8LQWbF41e4G/NDP567grkh0Cktz0KPuvKL7d25DyzcmNsn1jBSc3GEXs
S8ly4pRQe/iI3+GvdGJzLagYe2oYZ68kxhumq6T+diBbcIIiXZY6855nzJGnWZrmluKs4RXxMF1p
eqfuNcL1tZqVvZ1Uo8ttYdXt3Rg5A7YsanU8WcSPqKkeKmdS1ahsQ33tuJN+NpNwHmPU1d00I+nq
oFIPiHfZEX/uW2fifNiMgaAoMinsbjtWAHLx14pd1rXzLfZyAl9jZ66z3GYGogvzvWfrSGQFFQNp
LnxP8Jf9jjAT7+F/6iPHav9EoJ5iNGaxe0RdutJ11F46iD+/WqY8chk5tWyzURsnqgkoNWR5/tJr
nvdo6N3vJFHlNprb5DZ5rHZJfnOltkocoPhIU5J9E9+uhFNlQxsd5R8hZ0owUA9DHAMLMUEbWnPS
S0mxzmseuPrkEpx/NSo+Vzr2Cm6CuFOCmlKZIratqw/+6xT51EMafZc/j1MtLrFRlH+dYSQ4z9pP
QI1O23uz4MxbTWVkfwUy44bVsRQ+m1KH6WqGkXww+KDh/8t7Nultm8G8ZyklN1Tr1G/tWDch967R
+pW5U/3sK6FvKRaKccW6kHzAGDblOwad6Da0JmzdUPJ8OWtA69eZp9/r/EPfTX9IvFQpOGqXZqC1
ZTtwv3K7xP7svdJ7ZUU341H0q9s4WDWCtum/VR4ijVu01R27CG5KA88O/kIpQArW6buk952n0ODp
bXkKCLHba9iwur/MWd/euqJji7CAhrUIov/J3pn2xm1sW/sXMeBQVSS/XOB2s2e1Wi3JkqwvhGzZ
nOeZv/596OTkxE6OjQu8Xy5wgSCJ48g9kKzatfdaz9o0RZTuJ/RN23kBEiPtNVZFEJUvta1HW5wu
2r1MEwlqQvdXhr1uWeKLNSKB/L3AoTreQiEN5V5T2AIlYL9p1Q2B8QS4CCBymYzR114XjJVqfdoQ
WDqqlY8MG1A63qfnhDOkF4DA3Dc2o+QVHz6gJvgGXTbDRmToGfv6ZtL78CMCKOPRjnNuoMiYeQ9a
U9xPzEZGGkFB/iSy6mvzDelc2VP+NoPt/FpQg5K2p7EMId/0wqwqPNlrODlBQycBjS2jSFZoegCD
y8lr2ZrXQ9uSe7mwpSnGnvCSFEcSfR50fzB3jHm0UxAzpXADqNQIDaSnKVJyupKxaefco+gTF/BK
GQNRAYHF+ga5Hn0UXG2enwZsXQdSObkdAN3L45zVHUlFobVsUxl+Pjg8rp0iCnYbnjRtPo3d5Jyj
YAo9mh71znB9/VPI7fOpRNo1Y8QsMn4+XYaMujz3nKC2KrXa+3iy75iHGTv2ZsTnvoahoTUIgkG1
MexSxjIIvqz6Ik39svSEPupEIkKXKodFNKHl8YXKbsm0Z706h/Bm6HY1MoS4jy8Vvz8HTxy6s6D/
NreeNYbpE9F1qWLUX6srpUEq1kmY+BczjpCxDnazbwkNR7dmEU28SFsdf+K5TH0XuCbokm2LKQeG
XVfUJ1EvE2vRmf5zFfTmtqnL5mM8WfoZmDV+QiJZWcBFL69W1FXnildbF4SS3oWEep/1UiOqAZu3
feqQau+tgsg1M5qaEwEH5SkSkYPNHJdoPig6eWbOc4rRob3QXGvajbQaShrHBoha9do0rGZRxptA
TJ9dZMReawbWGlKY/q5hejj0uFceFCvTStkdw5iqRNNIDlCyDeJukSHq8wV/TbQLTRtFmhFnznlM
2vI6ayM5P8yH+S3NyveKUEucE6l9LGUZf0Bjwio4Fk1Fv1GRIkDzyljxUDcXzgTmkwongbNC76m5
sJFbDZtZW0ByJ0OW4x784drUPjhtzzhxQr9EWjJMMr0Mx008puPV9k28pZOjHdpUlUetQKIH7qF6
1SMKEC0oIq/JGC/PbrPnuI7KO6suvV602zqBD29gVJhW/FIeWgHnNx3tYWulbKdeHsaMlSfQmxth
hTzjBQO7tXImf9clVW2w8RBQaaRu8wQS3XhyBqIMUdzHIXomhjTrXsXRxmayyDl5iMrHhGwLfRvJ
ZsTKhxkl32rkvhWnnsQvWrJlgW00o/kBxT0JtOecTK6jo8NKxzRBcwClbdzf4xOsIxwsKnoI7XlR
qLi4i1czYLnBi6uo+xrb2bybu0G9Juas7p3RLYytDU6l2sQxpuktygPWrbgKXfLPUmUCk4dncN84
ghJ5wEHBYN5xy+dOWPGnXltmoq4zIM8YFzTpcabV/xiJOX+pLB95XZxXlxESEKndsmqusF4xQJqo
/e/KgUac1QvcPEn7URqoN32nSQjtcN1XrbDCLUC5ZbhoW8fGMbOnuFkQVzk+822nQhPmgJHSSGkP
fAszNpVyJKqvsR1cbG7x0Lb96BF0Oj/SvpRHpzLtOzRttBjigUjPAHJzQ+Cn5bzTNVByHeQm/hS9
ZnSgjYz4PM0e6j09ZDRZdVCML5Gj2CBooU7nNhP2pguvUWl3nRfkyn1M8GrdBCTUiETViWcC9z/7
JjvBHqc4goUI5swnWDJNQfjgiFMI0S1ze7rO8orHx8IBNkyp65EhCru7tejUen3h5IlnwUPcso2Y
d6lw26s1mfMzjfPhquFCg/Fm4AqF6bhrm9L6YGGNv4DsEaRia4O+LSJzIvlVxhcSoybO5UhvXtsy
CfG5qfSEeK6/qzUzqWhBGqE4VSgowfYYi7o0dHCnTxFV1rq1tf5lQjdP+5/iehvKMYbDHY0XsA1Q
C2yRIBFO+CKuRVzPGtgyM3j3jRCOWCQM4yHwF4hXlOnZQxzhKyHzkQO0q2bJdtrINQQ/DlJjZsnb
ujCae6CC+r05WPll0mQeAwyOqo8zSRG3ao4rzvKVo856o0EUjvImzvdRWxkfVOiaJ4xM8BgzTEfh
qunof+KcBnUVT5r/OUqy+a10eXg2uOc4e/Z6tcDgZ/Lz1GRxjJvrPn3mbuv7dZ5G7AR0PcdLo1v+
50FrlwWOhwjTd/qMppyBq9HOZzJX7SNuFVIaq6w5sbazATWu/t6Irg49Fy3aDtqa9kFpUXlF4WIf
R8xvN2Jo+8Nshd3XphP4arhtqxVa3YroknYcv6jYz7w67TzOEGmM9rjN9yQ92kfJuu31dpE+CHBx
R80kIWVOpu49jyurZCBMQF6Z6vk+FvZIjYbw8s0oCV/ZBJ1d3HNEovsN8eNDglj8Cu8rhX5l2w/o
j/lbzTrUBKjzSBXBz46tm3EHcj7t2CZoozu+wweod+1ndqDMWcX24D5qs2H56zyrzWhTNOEdFIDm
HhKVZHrA2pKvRCdAiOpte5dZdnoqDX4IPeviLFT2nRpzugn6lHWvM221ZUPuzbPTEW7t25xKSHwa
0nuAUAlZzm5slljTivk6JozY8A0yNtEjdWW4lR9S3QjvG1OWazMZ5ZoMbY4aoqg3dW2Eqzkc/EvW
T+rIjwUE01XapxHM/ppfvoR+n2yMqIDq7M7ObWfP8900Zu+VIb0s6XD5hAUxHLE7nRUu64dosIZd
XdhwSkL3YQJ6v0lUutjQaF0e2kaHIWcNI3wx7LSP1sDnwovAw7NIgkTKcw0toBm2PcdXJjQdHQ4N
T+0BGUj7aoeFuvN13cCrZI31vaCg5ySQSrArDjlcq34cy2PUS2SXAHQbINNjfcN09XNRJ2ayKttG
XsLAtM+DKsR1pJ3xmtuOkEhP/KDluMv4Juy4mwY92LOqguGIcgdOJD0FTJ3m15J8ayJo9QpFn1E0
xIvTdsfyl8hhytaSEuHUaXb+bAVsWcR8U7KEdDgTwxygdTNtQXBplE/MU9tDxveLp78t9iPiCE+3
dWvjwOYrdrolBbtpgBYjatvsVVk+JBp/7japmpyvUAWbE64emBNs9x914GE1NrvU0daJ3oMc8yWF
rB0zt7LmjhOMaYQD6gzIo2ZWAQ1jmkO7t5RvpRS5gB/Qagdfw60g6JEgZ6KPcW5HpCQQyqoSTHET
PsicmQ9Y3eExskfxXgzT+CmibH0ksKarVwo4Deu/v2Cj3NgpVjN+h9cqYX6JrYNDDy1SSpM544yH
4ZPFuO8cmzlMgghrHSRteB40Xf+UWtLJNkPpQ7aoJzauKXfVwSeO4MSHIk+dPXhch6UFXkZiJYeh
CWu1bmSJziwwUdHHfjo9V05iMrcJ3a1pluz5eRWC/FL6osnxTVT1rR3N5y7yl2CRwUyOtquaYzA2
QOZkMtmfCWaJ6OXpi1ElGQt2KzMqfeSH7kSKchahs6bRhvEuDtnFVvA10EMq1Vko1saRlyFhMQCC
VhTuOsNw8yHta+YoZp6QxmWPBbomTTvQZM/AM9TN8h8GHjos0pH5gZmtlUIJNEHxZrmU7zg+89uS
CeqVzYvaJWW7XPmwbppDq2dGguliHl/oN5M9SWT6Y7CcrjIHenMXuGO7FswHN0OkJ94YpfrZcXvz
PRFY51vafVvNT4gGEhjW/K1ERbB2aQ6f5kw3jtjhx1uIfORJGEuTPAsLeDGgJR1HGTxZPWGl8YCG
lM4oOFdO181LRxF+nPwc8CF5gZsWWZc3TFX/xShlfO4oJ24JY2X9mknutW09v9H60sTxyr/BugcA
hEBef9FB2ZF0HyZnzBrmpmh13MA4N6HZWbJ9CbtyvtZ9n98U5IYyRjcQM5p+dkiREn1OS6S4QenU
N9kizyW5FaVuGQ2RRx7b/Bm0friH62cf6kXcS71Om/ib4vf/tEHfIjV/EYZpoOgx7UWV8599bucv
QfiWvk3fI8z+/MHf1UGu+ZvNoYb8HMNAXSHUn+ogx/2NWgvNkOE69h+/8y+Pm/pNh/AHp4zTqWWD
Xv63Okj+ppsw8ZD1KOkaNmS8f0WC/iHLAcqPIouI0H+Q6SBI/V4fRDoDLQxL6owVBX/YIoj6TqWD
4MGRma32NTVfsDeBCTGmtOZFVuJGdJaTNKWHybYEFVF1D4hvnGCjoD3M28D1rQ9VTL5C3iqVeOWi
+KHBzMBsLQc8ODt609YHt7Gtsz8MOnYFTbZ3FsmxrO6EBpHuJEgG3LPIMHXRSe8qb7DbjocJae9a
yiBkwOW3wWNDU5RAbi1twSEZDMYMUi+czu5eSgEgDKQSEktU5esqd+71mbFiT2DxNHGqdJOSSgW2
dv25SqtyWMcWQI01Hza40ePGbcGjGPONDJuSGSD+ZOrL1NmR2pHtbbpql8qMzL0vndEL5Gztp2iK
9qao3HWuIRtdZ+mkrgNA+keM+s4Oq99wZvbo0gHMmF66lr6xUP6gU6WYNmkjmL0wyyeOAYhD/GIE
alDRDTI4HzvIeSJC7Aq0w/qNafpRcIRR3V/RR6qJw0whghsGr/GwI6qPVJyRHEEMWCxx8FwMfyw9
3GULFbmI234bGOiaGMe6mnGdEalNlzrAcHVFc0aS6axXfr1nra39Q1hC6T10Oka4o98PruUVsW/0
G7w1cgajEaYviE4qDjVZjbHEmKHrgQU2SRoGSbYMEWfyJre+avqdzTL3DgE3YOUvcbrndWc8QRkH
Tk0VEmyLuPnquiNVBmNiM3fMm6Kmsb6yoG1oAKNebEUwWaj7d8OIExq9OfOMdszcs1UPqB6q6GpE
ib5V0LFWReozVQeXMuwakTfvROzY+8LUwmhHAlhkeGmhU2Oo0nmUSyTKCsOKmrwsap0HYEXTDROr
xW4SEXPftOlDm0yVx9wGB3+RhzvaTMWRLPbM0xpmxXrkwOuY3M00G/Ojn0fGtq8K0GJMXRm6ahzZ
DDIeQeBjdmseSI+JKEFVcyF920eYjldqRftfrCAko6opitCGQgZOk1OTNqT4Qomo58+qvQnTH2xX
Tue0XUT0yN3akShPXtea4EEaOxNJPgc0BEOJ76/zsg5hSVqiowr6IbmQc9h/bLm2BNYVvkHEkzlO
SHKHEY/IrA0UzzXYuiyzn+j7Z9dqKnbFsIw4XH1+ygDsvEtTGza1Y5cPRBM2OzvsYr73eNotwa0f
bbfFuqHN3blspy/YRykvGFRlGyrOdp9ocbzlQKQlL6U2qIcBeUmyNqDrvcJKN5qNTkFxGOhNb8dx
7LzILK2N0sxuI/uK5M2qrnYzqiAEaTJdZ4aVbEEd6mtRB+me5sdRz1rFCpON0Ab07gWJGLqiJkjv
Ahd+VFPG+bGaQvcSWJX/BgLHb3+XNy6O638vnL8vpH+GNv/wy/8iBZC/vk9y/rb0/vkT//UfU1T+
t0pm2W/UTyWzN29JE769D1++lN9Zv3//ud+3RBsHN1shM3JUIwuOE4bsH1BP8zfOPt+2JOlYxLDw
O/+Cehq/2TqOcFKlCSJhmsvb+EMwS+g0OlMs2raLxFUo3f2fbIk/5J2oRXZrG1RthkKeqxsuGNO/
7oiScXNYW7kASpUd3azZuTC0boKsfm2baFihtWVBGXIoSAQFEO8FxER/CinNb4qmhyocf+xKAorR
I+5Q+nT7tmrvYvKMcDhguSo6DdlY2QhAcOlL6zREScFAGSSJZv10BNNnQjFEn0tvYW0O8eUvFco/
bPigT8t/y4G/fTh0lYbUQevaBurj7z8cmbVhi1pPgKeJ0UgB3PK/5nV5RznyCwXwj6+EgpnqxgHe
zl9C/EjwDbTasPssE2xMBTNF/Em5doNyyzPKwPv5h1rKsr98Khsdt7KRSvMPC7GzWliwf71kNACH
jO1EI6Gr/2yTn7nGEPXcTvTSa9c4+D1j+1T1ZBFXqvRsRpNrXYl+hS8K76sxEGnSEckS2R/5vx4B
A57xh86elPVLoA0niEdvgCWELIFeqOJTTQMZ6laI9iGvgL8H8F1kNGx9S0fR2TUHLJikvfbJuBGw
rj247m+qnz9WVfRqVaz5aaLLX3zdxnLl/n1lv30HBJ3ocglDotj8MSOIgLGwnyzMW4Xj7EIcDkaG
mqwM221Z+Du3eCkz9aaBTjZDnCvkUgDbz95TLfzy84vxN3SzEraBztyyQTuA3zUWqsJfCNFTCCYg
C2S4SVucRUaFgafX7BfSUIinMNLPKcnNRP+tojQ9kQXzWMgJxmps7yBkpqvMNa9WB5VlxIAlq50I
7Lc5Dl6zyQB4K+9/8WZ/pGnboOxZhBiR6zZ24W/l8V/eLIWjoyXtiA5cn9H8fjNKD4+i1x8qTbG5
RY9NVxzQJ+znUe2iSn/SQkpj+uSrcAwRHcdebwD7Zz4FGI8wW6Ueh7IWq5+/z79dXd4nuG8TETCP
kmSl+/5LlQHo9QiggQdr+6F0gGwNWYbNaRiZqXRQGhuDZJFBXwnVMh6r51cSCh/wzW86GlQ/fzM/
HBnED+/FWb7Tv3xnuiqNlHmZ7/k5AMNSX2FLQ5BsraB/7Jpfvty3Nemvd/byeiDHdSG4Urap/3BD
weZMnDnFfG612AW7AG+b04I0zgbuCvGAztvcOlBUaa1j6a0WAS0jJnTk4SueRWKmY7/ZBAOcitzN
X/yObk3jbrO4eZwhbZ2oydN157vjFsrF1c3I2mtjd6VZ8w1kHLHHxEcf38g5M/S43s2C4BiqMTgk
MeHlMtsIUd0QdRkQ3J4y7WJktm8dRsaFrOYVkqEYKx5cutaa735+Ib5fYu1vFwJvENYOuCy2YN/7
7kIwVATe1nIh5llsINVvobuOsYNo7PzzFzL//pigEbXYFBkIsf/KH7YNiYfBzH2eaSu2T1GffMkl
palwStRgroXqpwmf43F4ENV8aLvpnnnGR9/JmlXf+K+176xz2byD313lerKvU/OxbevzWKS7n79P
8fdb8/v3+QOdfnESBmZZJUg21M1kDNsmsSmZ4+wFm6ZOoEAPI6XsSXHS4DCkY36uUXmunZK++MyR
k0GmdovVVtuMY2XtLVhH57qpMybYQwIr2CGzq1LiiBg7eeoGYNZl1d72BZRFUTL/KZlPrTSzFNxq
vLDSe5qo80RXDF3WShsm5lDwvzjhtd0uF8UzcfNvfliSr8ik6HWS3RMMXwWGOey/4saGdwiQYEvG
Y3DCIDhvE4bVP//O/n4TUe1IsTQbDP4uf3iak9al3LByl9Otf9viLZFtD4DF3vmluf35Sxn/9FrU
HLYlTUsY0vhhn6aGr7rGKuBPo686dt38PEeldSpxHT8R0yLQwFYrlU/nJvgKz2JYFxBPVqbLBju0
UMznCdmaFcv6ji7mL97c8trfrzJEKkieWpfVhjr3h1s8jXsjk05CslGWHqdga0vtNFcffvEN/Fip
2Mp2dBhreFgM28D49f0jW5tJ0PUqDVDU4nwY7XE/gS736Hfv5igsvKnp7oegLN/SSn6Ih+kqARfH
OtYdW+TdpprpJFR1lOOIHu+gdIU3SJGTVY1Q7xcFxT+906UnRJMJKwXj2e/fKTG0PsISYpscVbCq
RNkWpe0KGytSFx1ppwrtra77J8dsf7G/LC2n764E8FxGGgqjM7uy/HGx6Z2snQvOrYR220/+kg7r
1uvMLTwrN+8RXCEOq37xksY/vaai5UdCCTssrunvP60LtwXgjCTWqfJ3mbmMHKJyPJbCtjwzorTP
us9h0n+oQoG4VL2Zs0kWvfaprSMitchYvwW8yhzewllkr6P48ef3jfjbAoy4TBEptizCCh3T8v7/
sudCZTdI1G01r3E4L8f4vaW/9WMeFwSReEqSOT2hON4No/k1lngXZvWKXguAsfI/1hXokFgJZq/9
1zgMt9mob4OeuaSWRHcDwX1lCK5fMrhzy+KzYr/F7xpseyTZh4LfnkuQ4TEKTdwTjUfrHn63hE0C
3gIexEejWXDC+bavCa4L/AFBaJ384grZP8K4iObkML9wwiTPDjbL77+BPIpaThuh7TU4+M1MXmen
gIDKMKskomidum29QeVzLkfYxfDH12kBsreewMy2QXPf1sO9qBFW6OSaEf0h1qMJm7W1UfNk+otd
oaHMXHIqERrdwM4Byk22mAcNfFsPyFfQ1NzYAQpHwpjfHAmeXwXOQ2+5Hw0zOhOr66ENOdRI8/qY
ZLUBzSx05fkdAUeJIL66rTuakrxRQ88uKVlbYxyTh5RIhJ2Q/drW0ywrWBGotmtbdS6IO6w4g2xG
FygeSMB5K+ANbEar2hT4Z1b6wHSxzUaP1sq4DXGxWKPCCcPIgzHp56EOLkX6Ys/uJmq//Pxm/Nsm
61iUyzyaHO10S/y4MnQq9+GTWNRj5roC/2HvCewkMpHZ6+8X/f93m+V/UzaKXAYA/3mm8N/5e1i/
/ZPnmMM0P/mn5Rh5i8vaLE1DsKOyHPzRQVG/2UqnE0/fgsWbo+C/Oyjub7Q0HBob7DzOsvP80T8x
zN+ghLLx8ccpYf7P2id/yydaXsJQLhuGo6TDUfT751RBLOiNLkZs1QVD84Cy0EGso8GERsGjLsIO
HXxa+C+3OalXW6G3MSfFQP6iJ7BMa3il7/YRg82WZg7lKuum8+2d/mXN1GWvMGO5TN7AGj0Rgt55
sDr8Qx9k5mOXRO7NqEjiZoAK8ho/Fxxk+vZwW+NR7vlPOH8MQuSKJMxe2fd0ArbBUaxSDmJeFvjy
Tm8n/zCjyPYmsOe3YRyFGSKrBaNeaeY1bGoNtyHyBaykNVnk2gyyNkj9jVaDcbbALW/ygKlAqHfD
i2EK22S5lvmG0Bj3pDq0uSvX7JM1PXp67AMpmAfUWDgOiEdExyhus8jS9uTpgVeem9Z606WenqWV
+jUiqLSjPwHCZVQwDBTDbovz07uR1BI2KdS6YrJ6xB9Dc8cpiENKTModxrWh+NTaTnPoVF9fQtEa
R70wQDIsdHblivYuYJjvidyEeRZbx7Qo92SRwHIG7/JhQhBUrWIxNWuApurF4Fy1LrCmfwgHV9t2
0LYPcW75q7m3TAh+gbblf9F3I9xdrxjCet9wzLlhijEccAaB+ZzgBE0BC7GoutPUatFtFwlQyEO1
MBkqM1kjWIYgZQ9y47cCF5lU7aNEUw8YuLC8pcXzkOaDZC1EMlxP2BCsWtf3JYmNfLTqDo3NtMpQ
d5yDLIkfu2HUniHb9FvqTJANWPWxbKKAqQos4RZSovcqi3ENZEl+FcR4RCvCCbrzUGb1MQosaP0K
2ec4nEVI3ESunRxIhdtg1Ijn0+2LDeIM+WESGOsZAaWZEa6O0U1ugGK5u8TiiNAAvvBEOKV71KJe
7s/JuomzTaMa8L4Rjf4lntTuGrYZ4Ox7qwf3VrZ1dVsmSfsSxUG7y5sWbmGATx4DkvbJnqGtEMYx
3YKvIfRlWPJ0uK22YrFXlkzEln9T70HdutQQZfA8mwiQUPr205ldbwmBLIyrPqJR77J+vCBUnRGM
osYb5jKia5Nf6OfUwF26eVcGbXtNU6l2aSrmK8TzmMoVqUlmYX3v1RzdJaAWL0zkg41lRnID2k0d
wgoRqgyrwKtz3Vz3dlvuYeqWTymRsVxNu1qBBA83OcgRDOHBBrlR9ugLKGv2VNsef0ax7sJK7fvR
nW9GfH6HQrbOLoe+vrFIpAbkC0sKe5/rbsjtcNYjKFyPw3kEUERzNsiqCZ+3ZaED/aa63naW7FEr
KMWzhiPC08rRtlZ5NmWM3FPrOIU2HCV23ksE7PG+J8FGz5vbsZyBAfaFPDuFmHaY8XtP9Mo4B07I
cCZ1N4AhLjq5nWk4gO7T8+7UG1b0eSrq8GsWjN3aTVsEOu7sL8dYdM62xRGVVX9vdak6IhvAOTwI
nPZ5L7caReOl4W1jOpL+fZBjBDJLJzoSECL37dB1n2sCXu5ZmZ1Dahf1q1kRMYHZksDlQGUhygLi
VFdSBCo5ICdaj9z8Fak0XTft5FxlNDGDGNlsUzKg8cNk2MrGdUogQPqQe10doIsYaOwuNtctsUTW
GlUVehzfD8I1XAa7xeOpW+na6XpsloY1KFpZ/pOF8OIisoiMFFO6BejBMOU6o0ht5cfMcLorWBrA
RuAB6qcGhTJKJD+4qLYmAUOq/uyj092ypk07cvdyco+y8CPNGpR+TlDzXIc9OIjRgkAOhjIP1px0
RutmYfQfbSF8sbFK98uUqCQ4lHlebYauzY9O2sgXEbn0heMiA4XeWihwHFtxZkc5vnLRyn6NiMos
aTTU7Ve7cZqVj5r8JTPcbl+q4pKH2jOcnWafL9UaeWXAIPMIfkOZGi7iLgXCfNZn8TG1E+VymgqK
F5HV6cGNJ15AH0jNHSJnPWVZfgjNxaCqmT7RpG3lp3fIoXpjR2imGA8qnnr3psx8I/miNMkBEqW2
eKBNZlH+l1r51vAovPm+mT8VBBmdqwBe+MonI5FHqObVMncePpSxqDU2KV88BX3/kmSudgJhOfon
XUw1kaAL8UKSQLTWI2uAzbzc/0FZW/c5YUoEEuNvJJ1hUl+NyZT3bIWNcxjsOI2vmMjhMtpG9NBh
F3rA60y2uGVUcAsg9FVfSd9kSh7i0XlmlG19Bi8wHYhlkliie3VSU+98cTOb/oBv6vFeQ1Zx48cC
HbFWDdUDUD91zke+1SRJ7V1vVExYG61SeAdUBfFDVfeC1Zp2aFXtGUMwGm/IYyC/K3RQ/QtnhOfu
W3sho4CDNbXLIHwwtv1gPxHglToXhut2fOwTrIG9c4pNSFdC4P7WCVMml8kFUPhcuHX0cZBxB3a3
jGaSntOgtTZR0clXpYdVfokR8RSbNsqhbzWpQ4oWeTnNajZd4wqddPFoa8E1HOTwktYlfkhtsB6K
1mAMBadpC+m9uPgplFskueGBqiaBvdjzR1BrDTHH47r30jEadhX9pRONPMIHXEe7SpqWO4PWyzon
jegLLCsaplhJJmiwfv+hHo089hKiJhCA5STOTUlmtpt5XoAHcwgxeB1kUGRjY+hwSQcHRGHjp9DW
Bo/RffgcmBmQLwtrtRaGBnpRYa17vuD13LN/ZmQeae5Ivkk2zpcOyb5XV24DgEbPNGoxZzeOMbyp
HLQ3sIHEL9rxRA6xBiImHTqiiZpxHo5NEYdHyhlaJKYBy4GyQT2KZgGjOiSODDvMw8ZdUmEsGSbF
rQA0GOxlbdX3/NRWxtBBahyU0zqTyIJT3T4NQTOBFpiCzMubunkpfbIJ/FhOByM22y2asoDtyHK3
eSW1VQFHaoc+Nbj08yS3reAeFcgeb5RWIWgP6mgF0a8UX0L9sLjold69MZQBU5AcTful7geOS2nv
o3mB7PCJ+pIsP0MCM83HqScwaaru0hoejJX4KUFLQjm3hcZmuZv0joCTJnF3zCpiL0jcdAc4jM40
OLWdRJWAiV711W1BLAY2zM5AfwayavR1YwIQgGKAfJdZnpWb9XchxnIk0gAxTlHiJo9954ck9en6
TvZNeogbrH3YE6xmE5fF9AUJX0rmHeqAZ6d1l0AQCffCjdH0rOGkLINKg6SMTZFBsNmMOcESPji5
mq22ZyR1wOMUgSYscdn7fhbs5UjQzFzU5VbBl73J7U6/jQcbr/zQJU8jqmrz2Ac90eKDYft71/cr
EgpRM98wHenKlTHLPR95WKve0Pa91RufmHBYd2IwG+rqZtIfWG0IV5hDVAleyKTLg0OyyXqfNITA
vcEDsrXsJN1Q9JS7wM+Dm0HKZgUdQ3sjdLttdj2+ZACm8VvFPO1SWQtheJrN9EsHLJHgZUey+4PH
WNWj4PTQTf7kEYKcn+0Uo0Gj9fpTqUfuHRtchWpjQCPtau2WcVm3hQ3OPYG+8qtMyR7CUwmQQ5LY
scrsLqIBbRusoqX2hCuNNYQcOH9cf8MhJmVG+lgqq/t5UAK8WWtatzX86XXkzuMb9kr/OrGK78xA
IxkaNscqM3JGG2nzpRYQHRRp8SQGGSU7Z+BTdM4gnI2BLAWKAmTPJ4srtImh8G96hKYfStMWKL16
HLtlBUUz8u3zFKbhk9HVt5WpWrrrRbNLCxOPbcPh5qaWQXJSSW2zkJhpty84Y3huEJoHXTDlE4uc
Q6T5KS3SD8rMvmi+c2l7tLYJ4hCkkch6IoIcEEw77EwAcgsbgptCjn+hM5x97qe6uxRUX/jB/OAm
nJNwr5xgONrGp2QAtde2YptYyVpHvby3QLpxlpoHYmimbGuwISGwxo8WQ9IJ9gpe5to3B1K6DgiA
yBNWN3C0T8kcqXNgB8YpdzATAHLFnz7jbPJSo9coGbN3Z6gCY9X0w2PJw0RnJijWuIRInKuSyAud
PrkGEDgPfh2Ik9N24iqMzDn2etlvWtzOgIi+pUhE8ambEPOvrKI2KEFzfbkN5dqeuDW0sU4xSI97
P1UKJ3p0dOD76uHgGU640+2ee3paDzmwOaqO6OhnqINqMx5PtSl1DyANuYJzUXQHw86MbawhUgqE
xMaQJbVgZjTuRVTtK50aYha9QxACROhAxenBJxwEAFXPpfbLAsBVNmmLA0A7hUHlvuholXc4CIzn
2qFkd6sgPZbj3HkGkJEzgGyxkYPb78nHMF8dlAjPyp7LeyrgGBl81D8luV8crLzU7o2+k/dL7hxr
JcQlgkvq8KaG7H3G8DhvdIq2zwaQmoNjlLiPRVu8AwKS2K0wHFd4UjNfepPuf9JH9r5vpHv8PFgd
H6u4007m1Cs8OBjBtCm1D/+PvDPprRxJ1/NfaXjh1WWDZDA4wPDmzJOkozGl3BBKKZMMzjOD/PV+
qK4LV1VfV6MBr2z0ohdVWSfPwIhveN/n1XYfoJwfg8fFRLspojpZlxYF7OAVYtuyftxIDwliXFgE
55UbF99oLBy6SDN/SAadUicUzTu4RSgLBt4Ihxb/CC72gOAcWZJgtVMgJ7jtgq5FkZ0+SJBJ0kfH
ZjvNbWkDHNU3PfmZs/B3due+pTHp3aNpHdJYP/pBsouMHIRXcwhxrXEtEXMKBnJYUxp+a6LgNc+h
sw7qvWGwsc4aLD4ROPWHRPf5IeiYOXLNFBcnHW1+x015DPz07MsYRIZ25rPbxLBUJdjqPEXiCPB1
nSZxdgjNQh1HkER7MfSPpiiw10wFUoGMBg+jfM1WiDL8aMKoPswwtz4ERGOsox4RgIoIlA0BngZF
unGIy0RsZJdhm4EcuitTLzzrjC2pgZ3hEFh0+mjZE++iALIsGxBA+/5wbLIUx5N3tPr4bJFHOIu8
3sJEkM9V5XUXkzn8M3h64rSboYOdYU9cjGme54ADwgnFnZ/0cje3qnoxxiDb+IIWZXZxg6HXr85x
aQ6PlQeuA+9Kwppt7cO0iO3k1OX1z0LL5iZPJ7jukW+SU4m91az8Td1Y+Y4RU3VMWAyta3KwNnba
TDezTXKqy5bnQ/D+0Nj16Oi9QjtIx32ShVAVXOGeyF1oDtaGoPBFnFZth5q5uzugYSVukjMP5oZr
mA+IH1AB2TqY7nMSL2yCYN1m1yEH2I+qKFcoZ/noU4A3GMOD7WjgGV5VjbzkhYNKqXJH2LyhfyHQ
CLaPudKz9RMnP0JWfCBB8IhZcwOl9Dqp7Jh36gfb659T1GDAMauSQtyukdBKN6oPrUXIKtemsR5l
pll6GibT5nwErDFYdNmGOnBzHVJLHiwPTTyJEyO8FLIN84PvlzxQXr7ltv3pjvYtu/Fg33oMiA3r
LH04m9Rau3oY3kjFIddUC5Eea66DxwYI6y3Q9bde2PjySuNFqEDe5YDr3w0pqgP/fFWklC0eDcRR
1HRjlCjGow7ETSnqTZVoc+2VlXshKzRcJdJ+5QCPVq5ZyxchcmtjxMg+/cl6QeocbBLXb9ZzE++o
odcN0MGp7H72JmiFgat5FXjQjNPex5OSu79Szz66MRGuMJ/iMX+qXUV5Kce1qodoVXOB7/IQkFgu
9gRMvSLjdXh6jHSrxoUbTRBq90iTDVnMIaUxJLgpsLrrQkqFB6Tia9yK56QMlnBoMIJWZlIvWkyM
WB/28M3UTgPzWDvKzhjlWc6t1i5MkgxuQNokIdgfgv3IBnabEtwOJraTk16MwDxXo1I8jsXjgl7r
h+IUBm1wUG2P2y7QQJn6Ptj0pZU/QX/Rr0HRnZIZq2ZGw4GZWh/cOtP7rlKwPjI9lUfVwfODHmQd
DSsGwtdiM6znIfoepRagH0+80/I/iSZbj1d8rb1Vf3rMuZ5GRftnUfqiM45IqNPDxXCJJSrw0O5M
7fkHx8YJV4z9XYR+F6J/Wb0gdZ1RJ0+E+irDh6ldVcmq6IYG8RyMWttjYkbbEO4IP3IfcYBBBTJn
fVPODhGpie3WR2S5PUAKhERFoC8GkjAc3onmizKjfYW6euvZ3hSs6kqo54EEoFt+Z1u7ny6TG7aX
JASGUSYmU6/jnNj+lj9LskDrGEebTnFbCpPkZnP2Pqo5bA/Qjx6DMHnM7TLeg8Cv9k1QpS+Y16tN
zca6Jw55haEc9lLthhsjNPptxD1PncwOK4kdhyq8ekAyMKxm6oRp9hwsc9jsjiRsV+t6HN9kibwA
yFZ8dFXk3GQkVmyiITYYEWdphec44js7jFr47KoqWWJccrE1k8DCilkwhCLYgwlVLT89Rl2rloCu
K74ffZ+0UY0HbJmHB6Y3MknVu9S2o2/pLFPACmVxKoSrq22rEpRjRtiCMw8n/KLgttPvAD7AOKZC
7iA9okiOUyTJuBg3ajYb/HBeBRa+6abMumG7N0SXwZ3OhUyMl5DsvlVS0XpsW8OynsBOYU+0v6J3
M/DOF91SknkhybzDaBHv7cHMxay0RPfqyfVuPQG0M4xacpdTVuWmTQQwvbz9ogAcHK3OhawQkwi8
gN4ubMUY4RjCvLcLGd2BPxD7Om6SPRATCiDLJVk4gl2DD7PK5cUcuk1D8SdYRzarhCnFJWik/djn
JBRD+befOPiLO+QT8X74ijI2CeLb20lOwLE2cfsiaKj0mua/4urz5vUEgpwxG2ggXP9LULLvcl6s
FAiUZ9vyb/qAnaU3jQU5A6W7trTzMwxM8QPldxlvsAWEn+ESwEwZ8pYEkjC5tLm3+/YJm/OwGZaB
F+TzAxLPagd4oz0j+ObnKhl8ofwfDtqYCzxzyjv4FaikKgqJny87fkWMBzcQ4OcrVikSOs2sAzUE
82g3pwvgzHQY0Lno+fLSw3+M0MjHtY76RXv7Lu6eh4mMadNuvimrRigFM3mfstG+nZcY6ol08O9O
5EPJMENv3AvZO/UaDR2UDWmisg+f4jgIjsh+KXf6ckVy8FmrJOHA08lpsr1fivJ/SY7uoLQuIdhc
2WSV9CRjW18h2cS3QRrqrOLizuEVk+fVjfAtx56v1/h6q13Z2R9F7PNjJJb0hogSMjGTWZxbLMTv
5PpF27AMvpOs7B/cCjI0VZKznoaMIoyIB7CBIQGOerAtkssdWmP7pKianpMl7Nu2+PkVnhGdyBU3
DjR245bi/b5TbGQ1i6mdV3cXi0K99bthL2amklBK5/aYtoVxOyx0Mb6Pp7hyeTmQXxsHE9wK8OfA
6jhhhN/w5glnQWV4R2aDecEhNkOhkMnJ8iOa4jQNmAyB0u4K/WDZbN/DBmCcN46sg0NsrLpzzmDD
HlkbEzgpx10zeDAauuwJ0vvtBM4N6SKyJaBrysJ2jEB6LSHEkw/QdDubCoezkNGos+3gpEer0UvL
c1CKjrAls3H4MY9IfC2XA9laItynwHA/SzJSN0QYBTDvmpmvFyQP/JdhM0E+iGmp02pXLSnxHflH
V0iK82liyY+7r8vWKSQJGbn3bpsEu94J3t3EOmc6ugC69faORGfYTOKe9XgKtLdfN7XaqLx5mfrk
VQ4lg9a2Qg1YEqCY3oftEG9mFiyPDdbatb0E3AsTXAfWm24zRG78Iu3EPWDUo6TRbbmBwr2JZkJD
6rgiUd6vjH3eBauov9fsmm4iKCunhGftPdehCteZV1F2d3hdVr3kCYgKebF6m71YDUhr61fdKRoc
HwFsc7RczlM4T7Pa+9jv6VaoFnBcT1wnOWDHtSkdk5GjW+xFnQd8jX5uv5hIT5YCqJJHX2fFD4Cd
GA2r3i4v/EeTU+FPz53PiCoz7F3J+XZDWhhAPWPQxsecUphxH473apyHY1QVaUyybme+StUY0NZy
cSEKRb7oIhvWmhk76Lk+bu84F0ATghDLvrs6GD5ir6OvY2gQDCyFUuIlzy3aZxCdyulfJAr5u8HQ
PMZTypfAjmmMb4HmIPeFoUSZmVUYpaDCtcdYlzPHVWMO5Mh68rmPrbjYZx5zqiJCX8Ek00Ffx+ot
u4skRsy1yOASLFkUaFU8f4ncceDyP+OHBCRicEmSZGKrHR21g3MrVyRvl5XNv4vxfx2k4/CaeMUH
BBpj3U3dB205rutalQmycPsjo+Bj4TYzsFoZCSORtjf98wD1npOi5H+bHnP9zeSWMSWlKV+LJOVZ
4h+b7Y0h3PaHAE3vrVvybHdVP8jPhIJ8Nw+Oe/TDyL1hy6pvySFARDWwE27IvN5VKpP3vetwosVe
xA8FvK6962NXLDTLhv1TPK0BpQXLpAtWWyuGn3w6/a7otL32rEQdTN08uNphDZmF4KUTh0jDZAk3
JHlHPzJZi3fkJADtI0tk7X/lIYbpko04feUkei4yZs8K5Y+yrLth6yyRiq1BuKK9xCzaS+CipzNx
l+HXJsP+K5FxBGMpyGjsB4f0AhF5IDYIcGSjuIe8UIDW89+LmCg7f4l75Idfg/IL+iPhcfadOcTv
AYBegDnUtKt+HN6cqgNx6UT1NnXmax8PpB/gHVv15oxLmFSQtdvl86aeXskaTlvws8Sa3bIRJOyi
r63nqKo3w5Q2+0D580sxxMTvRtABCKsfN1pbpHRkzUkUS7yGN+N6kyYxkAKScV+ZnPW9+x3fUjxt
kwJAjBkMzU0C+HmrGYE9OGkIQDgppPPEsmnewWQJ77HlqV0H3u4tBFOczQwd0iCEtN00+QtpxpyI
qY/gNAjUfY+hbj9Il6i+JqhJwWaLQshRMocBWtoQUfGQJslTjP/uAdpdnpPFriIopLapztj2KAki
dLkb+KT0aam3DmehH/WUWgcl+2Hv6IAGjThhNohH0DqsTgXm4eWm9mg8tl6AsrVCEICKGQG7xp6y
AlYyMU0ZsHzNBoG/ahzQK1dPdGZUKZ3T7P2yEjfJmAy7fMqWhGf7O/u38EwhklwyqkloHDQ0JHO5
gHU5aocEAxlo4uEGd7785oGOzCNz3CVKELvbdd4hrarmXM2WgufWmg/xaA97lgyMObtqRIZL1UJM
TTGGj/GgXcJ6at5KwlLQqwvnzGrauvKpOtQHhL7cWIuSm+0a1LJy9mxkFJU/X4pZe7+miWC0PdsX
ekC2bvo0NlBDfQLKNoQ2F0/R7PR3oq+uRjRvCqZ5N7Xu3KOTeQi/TRJsz1ERMYyrTTnzLzR4GxNo
9etgLn/VqMGK1eiyUvFK0X9mSAd2nZGFBxHB21uVbWXvAV1YZ8fUhwzM5Xs6IOPZBoNBRm5ElMUL
3+/3ya6TPWEvsHga9uqrKLdo23SIAbB9NZ0k3seOAkU/WrGECsiYjuEO+ztzg37RIL9L9OTspi4r
xQZ474Q/Ye3XRf/WTWK6JhP3Y1V7CaE6NAbwH88eGmwUyq7ksmFnTv2PR049dDUAQrwDrbiD+ZCt
utK8smvYKRjfhJJNz1Ym08/ZyLFCBI33yQYuuMjeOqk+EYhzyellWkTYIxwCZWV49ozy1WAhe1da
dQMIprD4VVgkaKei+j4GSQfzECYHkmflMgqmZvhgBkrnYdfiLrJhSCAMAqHsF/kdi399JNs3IPNb
O+Y5yhWPdtKxYDJkDZ7aeAsb3XwPYuqNtVsOJiktUBfp42XyETKspE1wRncvMCwf0OwEfEF9/Y3B
0Bv09h+jDjKucbd5Fthijoo4q3TFdapeLfpPHER4/TmFzOkwNtTp9Bot3RTq19SnZ9lEgRq2wHmK
e/wH8zosfPeuw1W5tatsPMwFSSJrJn2kyrTREm+P+3iORgAPI51oZ6ynTKy/GpyUscRu9pp7Nl4W
Ye2lxRQjavXBN+yAVYbhE7Wl7fvSMYcLaTHi1HEePSDyMNYzk34Ak1pfMxk5B7vrote4K3Bmp12K
1mEJMiAoFzGH4Qz7tl/m40baWKDox8V91uQ+C68OCjKIo1JJxERexE2gwBPlqwG6DgED0QaqECFv
PbkCXWEj8ilmF4hv6XvJhpTGYut77a/EUt2mK8MatGOCnKFJs3lrC+vJY7a/VqZFbgCnKYTnKb8Y
mX2VBHjvWreUwNpn7xaaJBpCpfUPUuFqApD80b+HiTBCFJVzcGsqK39gSRs82oajryyw3R+kEhVn
Y3LZq4HmJY/dA14VRVm/FiX0ewdk+nES3WvLHBqhdA8AmwhQHKWAqfdcpehdwIbd9Xb+gAQvvaCw
RNwRtGLjjP5LncP6aYFsUUr6Onmu0etcR3It9MrsneRF1zM7AsOfETepocIVNt80/CDWRRpi0M4n
79jG6T7Ox/gkc8U4MvT9UyJBcIRE3vUi9w9FORVHZhnDGjV8zhOhx5NVIZyZk4b5ZuN58OLhqryG
OPVASQrxzXDFg9+EzwG2gWvcRMXGC+niwNWiYh1lvMl1ch+zJ1SooQ6EGPD8BATlTEnF5BXfwy1o
M5LfmvQoKGfvCwKHDiNN1CWYcqzJNE/ipvKC8sDc78NvqyfHnM5RxMLIN+SpqHOWNpD++0MSavM1
bmrg8Blub+k4+bMFXlOtOnbSxwIrrlW6mJfjFE2II/VGWXb9kqV8UD4ozhVtcg3xjUW1yfIBahR6
pXpdE+S5iyCuH2xDIesAbbHOzbrajWnHAEAD4zdXVcReNnbM7J5jesiWlbzecnOUO3aS5rm3h59V
YzHraSN5CBUU/VXGKvKWc0uu0X9NJ/QEDtvpCFQyAa235OaNh6D35wckltl2ViEjqcAqHmqKi4ex
m+xtFOfV25QNIN/iXg9nnUNEjgPL/+VqEb4MAPlX8UxTykQaQDxP/gwrTcngW6GyaQMPlalBXBrg
Lm2AwoWMjwnmz2MeezYGa1fdigIDESlV8IuCUXRXZgPxRwbvj+iCCtiNYBCJ3MFyz5PbOq/wBjTn
2dwyNdSSwIAJtfyU6gzdlmKfIJ3gow4D50ShEn0wJKSGSJZRlKiTe0UTntMI9LDUutdlFPTNDFFl
YX83u7c5dO0XphvqDX3afMdsQ5AtHhrbuQmSn7HhWA9AMdkchGX2FCYh9iA7ob0HjAD4oPIeJWbf
fdzXENZAYD8MEetzYth6iBKEG/4qLTE8FlyvLGam8K4OainRTgBeyDtgXkYShqc+F2IHapetQusX
5jXLpvGNMYt7w8oq2/ql38NOHZ32jo2Bg1mdBtwop/QxLY0fSdv4GNG5P/ssPIEjAmYkZHMX1dp6
l8XAWDHlmVkVsFm4E5WBMIhwho7I9WOLfZ70CgP+3sy6eGWPfbPJCq/azQ2DjCoJxjUMYuuXnfjh
GYUO6c6VARoMrFkfX12Kgx3LuPCUlzyHxK3k/Gxp9WmdmRawjbIfxrINH5IgKLcRQoCnIlSP3K7U
PJJemutXkPTpeezS4vTcppl+dsd4hntbsXgChcHOmrJ2Q42cfgsAFzKMNsL4dXA8Zm5BloyMHZhv
z+hqOKKUke485NxglNz5vaiUu/chOKzbLhfrgJZzHSRQ8djuTI9Mw7qDlN6i7ltm75XZt78Q1+CU
KiP5ONfQIjBi4E6yp3ZF0xWcqnR0mWmwieFRrUk2zEfGJy0hDOxVsVMgy1P8LNlg5/p2UN09aLoO
ZRycij4I/R1qMmrOSJGwx+rmsR3gYEVDKw+mA+Rv3frWKGkqgUfNhgvBjrw9Min4DHBriZ3KSM8q
hzG8bZKexC1yMWCB8fePsEcwy/ccn4/c+smBY9wM4QQr080M31jJLOMM+g+0YkmS2Nm0i4dRWuvM
L3/Kugy3WobZWwZKmhUKkuFnN2P/IVFfXYciTL6TBDbcSsHShTktYtgURAknUlLcf4nA/z8WwqNb
x1fwF0L4tn3Pf48Q+Mcf+A2qAx8HizFXAspuF7YAyvh/6N+B6nw5ljwXXa5jf/2T/4TqeH8HxCZh
IuGXZJUrkMb/poC3FyIB8neQT4vfyMOz/CeIzl9BdfAN/UF57juBicdLYnwnztbhtf6kgYfrMZqx
0YpDGENnWhH/Q+hwb4UCviKwjILHaM6uviJnGIWW8Is1soSOLpUIa5I3Og/0KfhVD8cb8q9d4Zsg
FUUue0hrRh8qtNsOwm/Sdre2ZTk/J2sRKBrc4idHZj05Qswy1k4wqCOZ49sEGuPVUYV9HzBVuo1Y
ntJcGgUc80Ad2yhkJ207j76DnZNPcNqbldVsSkRkN+h8dq1PWAMhxVvpipOX52uvApA5N+O8RppX
rOzlQJobv9x5DJA3TtqjtpWIK8o6uAkjw7odjDaCqBN/LyylzoRHIhdE2oQAEiNuKcUnB6lcj0P7
gQrM36cVKO2OcCno/OF0RIfU3c9BMJ5S8I+fQQ3QN5us9lRY3bunDf8AeQ4EdQ9BbQx4TV+Rrz14
1m1X68+5ZzFswi1eOQnezpog5WT+QR9+NDDtdHn4Dafnme744lDKEvFxyh2yTmITjaRXGx8OoJ5d
qMVnllVAZhDKp+5EXMxUgmcQT1HAsJiB+LyVKVKjPCpLdoLJtyyWett53qubmJekgRznk6PSjs1a
9breEn3kb/zeAGc9tg2tj0X2YzkheHT2KMVpOrLuCmKaReQM023r4Fk4jJXzYxoN9B6Na95DqLfv
pl6iKmuc/nveEqmwKt0h+rBDF90C29Nr2gsOVGt0PpqmN/ZZX/t3OYT+M5Ll6VcTdMMKSCW+rhKR
3RmF0Xhp4vTOtCr1y2lG5AFThbEngheUtyXHpcq6zyrt6SB8xBt1cEoRQq2tyOKGnI1G3FGsEyme
+de0xLE9uvODH5f3qWfujWj0wIer8SiHjKC1uiOVxkxD+4pSut4oOX2ANNU738i+Q1EYblrPPRp2
NgN+stv0wfN6RPIokc7a9Bncuei4kmpknyjmdekU07lLvTvLcOQDhq/WungeyZssXwqr3hSToVjR
OmlOJFlO7b8m+CJCDBFkLoaFgTe7ySqH5y5xe252Vh15tnVmUun3qUpc3jBRzA+N78MGSkTesm1R
ApBr5s6mue6HmhFexSwu2gKrnSLkNbFymdCVobcJs3Bk2ZdYtPCw5WK9KqKGLZjhqLw79KQZdKSL
wApeJamjqm+o/IjQ5HmGf4eZ2186MnOBVA5kjN/KmBYaYwFChHNYx9m489FVWdA0m4a0LzBN5TGV
mVH+qohQJ6IhYVO0gxMKkypiIu1SoIQFgRphAMkLyiTTwWgwZbmPhTuRXiMZcWw7hk/xLswNv/0s
7SEmN8eCurexyonRfVEH8rtpR9O3YuSJCbqE+X3U+NMGbpTCwwvktzwgrspQNA0A7NeUloAUZZnh
9KGc4sPyUgMxh7OFRBw9p4nJE9KxcreB6iK6KvJHUtC7n2NYQytRMY4MtCrKSq9umeTJbu6dwt/m
QKKj2zglDfvMTCjeR4NGukr6PFto0/VnsSHQuEr2eR971hHJYZd91I3Rq13gpcha7BzgHyQMi5Io
8Ah21338EBSzuWWLwwv2VbphHz7wRqvY649TqBu5qlnDZiRqwCyyvxOnEy9Jnd37WJTAnbJY1zd9
2aKnj/05OeaaestnKgtizGG61D4lnfcUd/rVLxK9aYt6eiPyrGbTFmf3IgEn0asIx0hRdI8O9Pzd
MLT+W2TX1Jaic+bvljl/jm6PsNHsi5fQaDbQb0FUAXDMkcecXf67AC07AC2CI3Qc8kvXDKnYB0bI
J4qKbhEDjgbtEAPhu6nJCEuJddjvo7Hq7E3psQfZ2kWRjWdO7Zehc7S3cyF9PgLdzcRDmBFUuss8
j4UGthFKyoIonol9gn6QGXLEQ+Zg4xggsmG+8SyCLFy2C6tR5W28IcFZPTUly/zvNARdc5pRBTFX
HVTrrmo41fC9yDoe9Q/NqJWoFH7L1spnn4deuZp3VtguWYXtcO26Sd05BtvNQWh944v+fkp75xjG
bnLv0zHRlFInGrPpMVvL9FvL2vC+MsxArQY8W08tIMr7KWzy7DoQ0fyjwBl86NN5hBmTewaaVD9/
d0Nl3QMAY/vCTPxOd0teBjI+/0dEvfstU0insaxInDmN6MOUcDfh//Kzub5UUz/+CqkpMS0Ddc+e
kKVTzHoGinpbuHG89UozyX4p30VsTASDeZsOg/tQlpb7LR+NBIyZIvwncFAKXGBQsJsopnhrFEHz
VEZ1Re55OhY/bc8vfw0osl/H2kb2WjtxsHFljgyX0Q7NuNK0oUbJ6jPKWiO/QS7gPKEIrPNLUWk/
RdNTOi7Lb2NItkSd+69eGQmimtpA75MqLO2Ta6VQU41muHdT238yyyK7FIqZH5PZ0HvOGkt+n4Fy
XNTEqYphdopeXVji97a2IgxEU4Y6A8/ZxrfBDQKEo/uKpIWk0O6Og2OnEOAdJhmyH5eoxhTi7c5n
nE4WrjE5mKSCuX3WUDJvmYMw9dRRy5zJjbIZ8ZaBzH5ZDS3JQkNNTkhjYqxjfzBlW+iw5antdG/v
ZiFaed8kQ/aat/AodmUUiUVIOYT4vKFHJKegaAS7yrDvQnSottHQgSy8vPqLncck15jupMtS4h5M
OkN0/cXaMxiI+6tWLFFfFS1URGrnwubLjXQkFcynS99HTSCjiyoMWH7DgvWzvgh/TjVL8zImycwG
/YsCWMEDDL7IgHNiTFACayWrlxAdvka8jtYjWaAIWCaKlEc+YHeOCBsvTIrvcz92dfAU6ty9T6hc
mJqEnPsuGqKD4YAvDCQgw2pBGnKf5XdiwRwyuvP3mMhYCRIZyMo2aedLGzp+tyrYkpwVUmlQQv+g
Jy4gRe27MBXRBFE+wFlsJ7CkqgkfzAXB2LQq3Hbg+fA4VMOrb/X1GRx/9Jy0NSDhFkouwjM3enK+
+I5UNwXfMNBHaKrwH5lQwIIUX1xIVo4wIueqk2IdIpHpriS7mXc+4nNkprF4dr4ok9kXcRKj+kKf
7L5IlAuUknx18TxZg+JrniYv2gZT3z9qQRrNEYolHaI9R59ccxyWYTMy0hvgOEaHTJnh1qL/eK+s
PDhPDJius1Nea8/S+xZ5CAD+Kls1xSxhF6ITLHp5rmfJ4NruniJXpRb88hDAsZzfuTCSx8izs8+q
r4Z9ndYW7B5hpGhTGmJ9aJPqzygiFqssZXiMMnM8ZEPOBVXp2GNNrJrE2pqtcHY1yCVmQOj1mj07
6ii8kTF2vbYcmRGPGndFih51XXdT+VG100dXG8zcOkvleDBNW0LYFxkSfoZTSfIv7PkLWOV/e23/
ueNZyB+/89oK1I5miXPj6JRZ3a2EbJsT+QP/koPwX7wMdmfwb7breciY//gyA4yWMgyN8ejphv0z
BoiEJIja8f7F2/kjDmJ5O8v3azkschc4SvCn1wHGaXfIFfrj3Bf9e7Lc8O4SrLiKJh/Kk4ab8DMD
MA/Gu8tt/1+8ur18Wn/8NPFok0bsQIalu/3z21RjlBo4q7qj06hqh26je7T93N3hqZ35kbbZvV8j
MSLLaXpLp5IxB9XEYAZPM9WF81VmWARTLIVH4VL3z/qqvbI8uqJmrGKaEZELydwxFTZGld21TcNR
VXpzyFgrLlnaBJff9e7Xf/zV/1b0+UIT79r/+d/++Q3RCZuw8/lgF47Dn/AVM2pULyv76jirtkUT
QToDWealGs0tPuOAOz7KfHH8d19ULChBIqipTF3AQH/8sTR4D52BCQ0vGs0XAckjzTtmh9GJPIb6
/a9fbGnp//iV8WKWGfAG+S85zjIS+N0DAHjSLjLIJcdxVsZWNjbkXGOXm7r7F+/qn580BOeUIeRq
M+SAo/7HF8JrRWpZrYqjQobW3TlWFXJxQtrvD3/9jv5E61kegoXNSBdJmWgjPP7Tl0aslJPIWWbE
pDBsjntKirDXMdhcssv7TWoLGzgi48WAK29s79KxF84Vc96aiyj+7L+qv8oa2B01fTgf9Fd92HzV
in/9V/2nz8QC3RKYUMIsPha54BD+8OEbTtQ1pa+OaRyb3rHy++6qS02z9G+/DuxJKeFQMgcRC7jy
96/j1nFbR1EfH4uQZmDTsHVWZEBBSP56nf/b477/9/CifKZQHP7PU8HTe573f/vv73n1P/52fm/j
XDW/nxHyQ13+/G+YUVAYy4AQAAT8SYmZ/D+HhJ74u1gm2j5nAv/n+vxefhsSCvl3CwgWfAxAO4zv
lsnib0NCYf+dwhQVJqRJnnXX+beGhI77xxPD4HaB4Iay6U8/osLuI6vvCd3Nw4a5sRGOTMfRV7JP
UsNtRdRMuV1sb7ATDeb9q7510i064Po8aTTUVKz1Dt+5vHULpDvmhIUiYxV1IHoCl0UX4sOsAA4j
5EcMvglboprGULSruuymYw5GY5W1ZBux+Qbr28Xmtq3N+FDmTX2HYi39Rt5NQ9wlKuYcK8t67GHk
wdMPjsVMKStUkW/zIm5OuRqQLOM8emcQ6ZIejBhrEyYVQ4K2FHLjY9fYp+iHdgM6ylVZjdiLxkgk
j2VddAIJl+VfZtIhSf8odfcz8pBerUnCsJ+6wigfCElX07kmOeA84TO6VLY2dqEPzHKKnU8nmRk/
+i4xAkQdJquSeIwROxfOpDJ2Q0ZJCGLh4tnnOoHAw5Z9fjNSmhs9d+Jghfi/Uy+e4IBwcZ1bgnrZ
gmTEyBGmS6ANKeU5QjQGa8RfZP2qhGl+lolX/SDQemA4WRkb0lEtsmzJowhas/lZJkX6jelp9S1S
mMBNp7JfvTjVHnq+uDiRaDjt5yzoO7Q4qvnoaRVPogcWsUelmprU8a08jpgHyxUiTOPJMHLihmbH
C/lzfRb8mqyZxlrPrOdUZjRnEsCqd6NSMIRsZwjWRt51W2Vm5iacQYaxLURvv+5F021bVBmHYgYg
FM+utZnBiW8wNpsbTn/WvWie7QfX7nPULXwLG7sR1QvHvybYPKDJfG7FCDmU8HOIhtQYeBQzM8+R
paR+dJeDsj8GeR1fJUFKa6tqcJSWFWUpH1tDZHXdx9M1ZMy8ahs0Qg7/Sfva8Fd875kKWVtpdCYT
OlTyWEw6vS2MsdyFs0fOfcGrHGPHmHaEjYS/psrl79Tmgcy2g4XoA7YAAtNtSNv74Llt+B6YfUpY
VEjEqtSWvWXgKJNNHEyBuxM1+uAQGwNRJWVzX9JMoCcMsBnt+hmZhE2m7YNysuiXJCsW9B7RzBPp
a9ValhYhdNn/Yu9MluNGuiz9Kr/1upHmcEyORfcCMQeDwUGURGkDY0gi5nnG0/cHpjKTYmZL9dei
zMqsdqmUyBgAuF+/95zv1HXbYSebGyLNVdox/SYb9qtvadPTzND3vcHLWutC041nATWYRxolI9K0
OWtwzxiK+HEjasjbg+zX9tdZnytjnSZEansqlQXhlz22XtfCrLqVGrkut2EEXgN2BCN+VDSjHXoV
GzFsVegU74zISUitLzVGi63V5KTU6pVarESd+EZgRXEg3GjRKGYzOSMVDGJEIMK3jjqnocYjx8y9
T8fxixS9eZj0wvpi5nO65xTX3o+BVZ7GjrnXjJ/+li/FNVe6KscPoxYHT6bBbptBQTyUk9/uaomS
ATIO7REnceW7tGwyPuscIhTMBgj0fJkplvR4HkgxnOqox8bgduVmqOdu74Za8M6VJZlIPTSGWhYE
goyt1n6gJRdeIvJmL4GPEs2u/Ok8E3R0Sz4UyUWTld3S3LRaL6g1Bi2mPpmfNWTBJL44Bn6PbBbF
iSaXgJRSYFTxY7QdoUDhRDN2NZju5yRPyk2aYx1CQcBgpsNXEjFZPiGjsj4r8LOIzTvypuACVGhf
iDfZlGQIrSIYEv1KT3TCN3tpWQdQMAX434gYAYXdMVq3jvRPcbww/mwMrSERTJiyS+WfrEbHVF1r
Ak1eVTsNGIm0FU9WabrvbaOjD9A07j0zojtSo4dVQPqCh3o431oavjxvtLrywbZ69yorU/Ahphl9
KWRoHjtrhsrTd4Lz85jiQzOijdVAkTDmItnLSLPWKcPLDQrlAbSZU2+KZU3Psfyuq9bUCN4eIVIE
DQ2UCLnxzhoMlxlAGp011r3rjBKYSEAajqHl92sE1M29xTp/S9Qh1nBKsBFRflLtGFSbt3ZnJg96
A2FYd3KEWFOUECmgpEsyyxjvhSuiPSa5AahGoB1LN7T2uLjzYpWOpNqvyyGLrwMrG4hvMob5Aoyu
2cdJFt2TKhEfhrG9Q4+H14/V0gTYH7vyE/u2e0XjCF2TZZHLMItyYZAGNI9B22eIHODUMR5uxw8Y
vcLnOE6Ce7QF/oMsSbrg6RjcC9gqyK5NjR8okPUToF37Ywdzbz2KGaICCQ1702xnh+AFXdvmC5ra
i2BF3GWj4ZzSerZxos7Dqa81k4ETwg5GT7p/5LBKqpAIhoMrI/JJw9k4tFqPZtDS23braHF6bzkM
eyIGg4jwy7D+hg4lCs/S6WfYzYaOUjKZhWRsUhBrSs/zFIL7WQWTj0NdKPM0q6z/JJsg3tK16ggN
y6xd72YkhQaRCksPeh0kft0EkI8c7wxrlEPg7Fbym9EX+TlULL9JM5H5I9Q8e1Wnmi8+pD1897nc
9kOlHWc1d98yxZKMe65/B0eHs5xjWjRtnEAdEe0kTygCmHXkrgxugiQUGUq3Otoi7zBWi/Hw0HWm
yW5QOt2VM+j6VZ+JYe1qotvh8o12iFhZ6TR+5hDpQXIqKn+8jVVo7zAqxMfGVhXfZlu99wfSZDO2
EwT3E8ZEQifvB6uet/R+nIcmduEd9IOxnzEwrxXBMFd4K8+hwFDc9BoC37nB0+LEtnNy2Vcv/7Vl
/HJe+DNMgAn09/PD+ql9+uEP6ByjdrrrvtXT/TfSSdo/htfLv/yP/uW/vr38ll/l4iyAzJ9V6Fff
ajJxfijKf/+R70W5Q+nNcdzVBRkhtqP/ObknFUDhBSeQRregwxoLoO4P9j8ZOkLBZDXZIx1A2NT4
34ty2P8mKiJ+n+R3OdK2/53JvbT/xtnkZAeXlogdonoMw35TnLtdrA1JoicbgwxQG0bHQKCtnZLj
wRs65TGiLF908spmRd2LjBYNhXMC1ihzy+sw0dqP5gB4GlhQGD/aJV3FlRB5cUCbz7QTN7Zy2MHb
HF1Wr25E2Nrq0Nv2EMFOqIov5rzAvDEM18dO2B2Jg0XUgatB0IIFdA7tZNPi7cw9jM7MjmJT2OsQ
zszXvLSsbK16ZZOOZsQ1kfMpRnlvQhdKdq+WOO/FxGqHPT0cT9YMuHVuqro7qlDYH6t5kB99h65+
E2rDDUMZKK/93GjwYERwhBqFvDJKwmapUzoXpVkyn5t8QHqdagLmRU8KW39EC8xxYuD8wE4yhfKd
wNNpbTEnRSni/RnHANgz4tMGtA05QgFmTjehQ476xgrptK1gLWGIbKohHW5sBjANAV0mylTpm8zz
yiKh0RfG+kjb2QlqAWc1KylZx+IkiVUgVySa6lMxxcLaF3glzJVNIwWoAP6Td8MsiUbzE8lYs21H
koQYXoBigEtHvJo9lMmXRCvmkkKoSxcQb8ILYKhUjyJq4ptE88kpyh3zQai43zNCnc5+Mbm3MFXz
1ovcuB43TQM2QxoGa8ocYwza2UGdHMt6FMGKGm78IMrEuUsqYX8RI+Q4ml+dhZ0RRYDNgEvNmUd6
e7rprAZUQBd1H1Vgmf12SM1GrZSATY7P1qmu4qzL35kgElovVhXRmWXLYfFgjpgYVmBWRiAUvAJG
fNFnm64zjPs4M4s9HPnorsnAKHi9HttfdBGiDatCSWYxddtwjtM+5LRnpEQJ6vY3Mw/RkfuzxXTK
792Rr8Cf3YPZazFIPrAl/rpjAeff6fbnyuFM42W2QGA8zG42rogGL83tICTQlgnvoU/IH36ZNY6X
GWtb3zmfqjwIaw+QTHNs1IzBnmIYOXClStLrRFl3zzaBveaaX5ETCy/wD60yxGY9JtEFRQYek73O
yP07sHSBJ4lSH7bJyAfzBpL2dOL3JgB1zJjqU4VD7uuCDxQHlWliBdEcTZ+dxgWAhsEMcbLzRGfv
MG2odeN0ChMeDkD5kthcxx9KJMip03FA6erBQbpqgxYQkiz1jolWipCWqgYAzodcDmKHImHeOKTm
ngK3Sa+mkDRoNNx+BX12wEI24biG+4TY+0M9cIbs0Qvp1jIqdI22jI8mto13QRhv2rSZeog/SEkP
nNKZkSaxdS26hU7SookceAEjZLRMnnp5YVYzn2RPAPgKC13WESTqJ9MHuiGVRq986kXgGcg2ky11
IicaZvAx49AsTqKLD8rofuhy+5KkQ1WuaRSjkyHCNp9voiTVp5XOI9NtXau0KalVMKL0dEmaVwfb
hXaLg6Cb5msNrcQHLFYO/lSjxa3UjeY0xMCjZefstXZimff8JkR/FyTMtxlCV0/Mu65ybEGcYCn+
J+DEgidpVVod7GvL4tN6/9sq3Ul0ZYdPKBvL20b27Q5jeLL9r923X2/b//e/EZxW2saS1vH/b7/d
dl/BXH+r6+n1Bv/9x37f4BVdMtfEoGgKi14S58A/u27WbxaNM67V9x3+r66bTqvOXBC0tJptF2YM
rbrvG7wuflOSnrFrGCBe6e/9W103qotXXXpCUmwA0qbNJMI1F5b0gox91aX/6/7hnP7JB7OIwwB3
VdA5q5R13EuqbiTWzjmVufHl1Tf1yxHI31/6TWUhY91JEtEg/UIg5wUhpAUSrvdl4l+GCnnYz19N
Lp/kr3kEnUUpHJ1yyrAEUkgp37TE4UzEdssSBLU9MSnKicCCkEYjTMlkOzXlo0AXtONKV5s07dTG
dXq2gFIQUG13j5wFoAnMwYc4S255kK8RZq0gT1peKwi2r3wyRYmu9zBPXukI1jc/f/fEQf3t7VPS
KZr5xATQ2jeXC/nqQsk6Q/3VV4CEkhbMt2HEjVe0EECqHsar1s7IBUvSN+fEGG+p2qJ3pm/dyLES
a0TIDeaM6jGZiYyOlfikmfkJjM9OFsklcHoLSml0aCu6huPAv5UZa1O+HHeCQe3wdxL1oabqEFRS
PGj5YrxCZ70vEN5NED+c+W6CtBmH0aa3wnvTwlg0DZeGNlwyhJu+y9b4m9pVECV39P/uy3QiF+Pr
tPQStdH7PKLF2EF4mtatkTnXRe2iKdTLBFZP1x1kiO0XAGyK04IPM+bGB7PWjZ1MZfBgJ+Iu11Ks
ni6vjEMmPUlIV0/44h2Ct+ORxKm2vpJxOuIYy4XjQQyt16beRah8HBokLOuoJZNgS6DiuLYoao4m
rc2TUsnsmWDdMLf4JuelJj+2TaE+GwL1dZBHxY2iw+R1LiFzC7nj85j4cHiGUF5Ka8Zo0bWCQvFq
kOFwHsSMjEcokp7B3xVby5bzMUdXw5ZJ3F6f61vEquXXKIq/RgFgoQGiJu23atia9qK1waFYTOER
4+Unjq3Hir5I0NsYAbk0VjPVe73hB0pYFPsh8+N1mjXVNZPHzdgVD07K9f75DSlZgH54nJQlzGX1
MLklGT2/TZhCJKdXRN2h4k3TPECsOBd4KqsWbFmOA3+3jIse8LOOJ7hz2ufQt/TKKxUeJjLOi5MC
XzRKDD69TzXederbiF/7nZGIdNdYPrJbWsj3oVEkHxG1dNcO7L7nl4/wPzOlX5xYDcEle3W1lzPx
97Pu+Sn79n/+17soSaIfpObff+T7hqZ+c6VyOWb+PitazqXfteYKFbqwJVqB70D1P5TmCjm5QocO
gl23lm3wz+1MOr8J5kpCMdynflm2xz8O69/3kJ8pzZfT8qvbkpMw41n2WRJk8Ygr02L3fr1M4kfm
iJVLuTehwBznBVYSFNG1yRzk6IzYTcNqXlDSjDWg847voyEJkE3nQG9EG651bG5ehqz0Sxw2+tpv
S+c+5zRyKLSyvWb8EP5iW1p2nb92pb+/32XZf7Ws0yi32wgM054T4bCfTEhDJY5Pjpn+WpQCWRNt
umsymPzdq0v6/Zt7LUBg7PeLl36z/5a2mZV1iRU5ChqOZwTvnJOkUtu5GosNrLhiPbupBrUI1gbo
kpuR8xrpo262dnFRr2DU1Ptpzq1lFETwqIuQ3KnDG+lKFu2Sb882xpvU8INrv0X7jjcdrCEg633D
UKFk8FSn0SJz5byHMIcFrkwVmF0I9fN6AmN7W4QZEtw260iVEMEpQUfsYfqJNmkps2PmiuLa6tzo
Gt3R8Cnshnata2VxwnMrN7hPq21dthuRf5mwvx9YpHZai4OJxis+VagfaKXQWDkIz3apkVJ/j0G0
jZ3uS1y7DWkXhSRMN7Lwa+UgnFnewFRyWtzUIcrgQsbvEb3ddNNwV8VlfWiG9ZBqj2aTu1dtGmfH
KXY/NrPUdhZnohrNFNBFW57iObiG0hbh1UN/oaYYcUkXYcdFQNUr5wkt5bzGcoOLwI2PRk8fU/bT
zShCa9tgYN10BIutkHq1R2DjRHR1vkRPHZ0LTPDbsRb7OigeUnM8+vPkr4O6BN2D5lgLVkVcoVn0
LS8wAMBSBaF7gzS8jWZs50WszI0csEZDX8VANoliwweDmRaV7cFCX/95CBBzI5OFskF/dtpTNNwN
nWsceWpgUnVX/uRSJCnZb8twfBh7rb8bs7ElWhFkfGl3tG2Gco8R5EHPx2ETwe/D58g1CUl+vXE7
MsF6w0hPbriUOai8GmX7B5XbYtdGoX8wOQqvFDipTVXAWSV2xloxM1liRIz5QRsrerjBRoMftUKf
fZiNmmFSGKUkfnA3j5ahbYcSkS+UHKZESTdBvA0FdNE22tEWuJhO/tACrqsxX+wqTJhuiKxTuOvG
hvDCbIzIhsEkQz7p97bRDqsEBdoqd5jppGie9BSh6eDCP+9dmKxcTS8zaXlYHyBBIwM0JuWFFtMQ
I+3ihXelVjB0qGhwhVeOArqUDvd6LsSVFtAMtocRVgP+Z0aHrXM1FWXyLjbwjU/gXoDGYujDPJqo
UVtlUwg+r4vPthpJZKPBjumYuWobC/JQNLnTBkYXUiNP3aa9L0dmgQj5AgveXKbuI0V/pprGh3aE
r1BGq7YNz32lQ5u35vUAWHNsPsxpdeMs9jlHdPchaIH3EtXSliblJofsm9D6QENdY/Yl/SHLEfbW
GxB+2yrMvtBe3rQzsU5In/tVJZtwRTPq7E52uNOZHkdxBYfFPRKReTM6wTH2c3md2RV9Bh+h4jbw
bbB/hVE0F50TE997Lt6NzbRtqALvtQawBm5W8ijcfvzSUwF6Iq9hHks4509hGvFnPtaB5jb99hTt
MEP8jt5XVaZbe2rJwgwX715l5HtI1flBJpIUHTC66zpLrDvlQ2ZMe+Y9MXlde4DT4TKorhfG7fuM
ImfF6jdcTWLoHmqX9svM6MgzoM7uhlBv9oQDRsRV5M7CKRrFwa26+r7ys+526ID54YDF6TTE/MMY
OmY/G+GqTWtxYrp3U07TsZbGhNcoeZjyuD0mqKm5Bc0PdBbCTY1tAPMP9FV0RAB/JVGrssJ1KBTI
mtZME4gElPNxQjlPEl90CKCXeLFWLwaUCOSb6H0Wu8Z6zHLt6Pgz611srrJZxft8UPEaDci8p70z
Q+MunsGN7QXd9x3eJ7nS+iTZN270ydBqc2NG/p2DCYRkY58kYyIfvKSH7IRsWz9khBCf5/pXgZU/
ikZeNlBORdJCHqhzfHXeChNB2upwWPR94RZ3RZTZ+yxe/AKhdfXzDfNNjsvfX+lNaUEoJgQXGRj7
PugYzPnuN31ueg/mXIG53b7YEsHzaDH7cpeVt3SY7P78LRg/Ft2/vwV6BYjcOCDiqHtzhoWSNMR5
M+t7VisHuK4pNQ6h8IgU1oO1VhOHGVV68q5FIbxPcq06o/jDfg3p5goMdXUFZIGDRFM82ozv7jid
ueskrFnlA8b5ZwvBI7p3Ea3Rgwf7yG/zvRzHZkN0L4tgLo51JdTeKYNnhnxkK3EgWmV1BpGApSVo
lzHIn72Uf6hR/unavv64b868sZmiAUgsfQ/E379HsmGspgk1BrO2efXzl/pRj/n9m3XQRuKMM03F
1OSHOkwfND9r6ZLuo855bh1wDpNlfjZohqxrq3z8+Yv9LVGZK8io569XWwKlXlV9WuTTmy1iubei
/nbuLOOjkYUdvvfgqx7Vi9k/aaH+pCHzWTnvW21EjJ+UJCbYQXvtxugsuJLrhscQt9a4jZuuPXb+
MkzEVLSOgCquAXKKddjG1lpORX4rYvLNy6QeGSbr/LYijlDna4SCUJRUS3liUqf8/HMuH+NNcUvF
T5IDgxKkZW8loEmGR19jH9nblRWsEtsXoCZlQulma7dRj5UNWBEC+Z+/6j89qD+87JuaWsIAqUXB
kBPnG49GvcAddXbm2k+8qBbaMZ/Gs888+zZdqhxnABTxn3gLLEouAWyK1G73zYOaCn1syizS90bE
gKxhS4ysBoyb7eOFgdGQlvaNpQT1pmF/ZtWvfm/Y0kf9K439dXX/D7czSVh/vf6bJ6cD8IxAB/hJ
m3afQaaO5zb3jWNW2dzYWvCLZsByUnh7nW0lLK6xjgT9rZgZ1KhWt4USe8to4pM+oMGJMJb/ogf2
D6sB3+dfr/LmMzWGMPrUKkxYCKPuDXxAr1nwe5ld/uLy/dMrLR9FSIW0dRmh/vB46qXb5fNsi/3s
D4M3KP1jarsH9plffKJ/vFNfv9CbdYDzB6YazKrsJqXzLRramxjE/A7ghu/BYDHeJUGL9RULbQgM
gkJZlm35iyjbfzgym0I4NESVkIta+82+5ofjUDkRaR/Aq8v9PNT9QylN/RBFo7EvjfF9UboLVRWo
WYRwcYUhrVo5FUZGJ9OeNAfWHUh0Vkyqi/wqCbKPdm2kt3okP8Q1M96fP1rG3282k/E21nSaErxj
681tQABT4mdzzVsLuqt8gumqh8RGoQ0SK6gf16Nrj5uyE/uuwVcaDFHpcQjVtiBuKN+tHJ0cspR1
3ecHylR/Exc6uZqcacCtTvQjq+eyHIKDqBa9FnQI3ekrL8Llh0FO2ShJo3ZTzsBHMXlXTMO+kYbJ
UG2ospWwe/PUNM39y0f+n0bVLxpVjgvIfgm//rNm+FurinTAp+wp/9dT/vVfZzRdl6f6X4cm5Y/N
64HMn7/p9w6Wa/xGrC/qeKA3sA3EIuD4vYPlMqwh1xmFkktTE4U/D8MfmgvjN/4PTwjTA2TKHDP+
7GExrAHjw5zGoTeP48H+t0Yy+o/bpoMNU4c7AsGWd8Zyx2/7YflpmgoAVDTWu3BgQB9b2SUvFQIM
x4HW4hMUwr3+zLpQkgObXNAcUXEisVxVvUBSVuBwVXmz9kekFiQmfegLHtpXX/I/FGZvFq6Xt6hQ
jLsWnd8lJvHNW6QtgQYlCQCUZIhYNVTFcIAqg6One+qZXZrGeLabbk3oDcFhNvP4/9QbwPgk+aoc
GMk/fkeSDV0NZkrs66KiNeaxXxHCvqix/U24yJ863+cg7lIWhZgiY5338fO38OMm8ftXYLMI6SYD
JaEWXfzrGq4xI1mnWVrtgG4x89Wdhy60zlH1q077mz7dHy9k8zImdERpvPmo4HubdmL8u8sLYkXb
oHW3Tls+FlXmblHxApFBlkPJSOeyHwYXIqXIT9oo7yz6mifwWtrGIJrhqYmtYVOPUtwbCafw5bnY
udZYHzp4W7saFMBGKzktJIhKOG2WJWywvgUwEMx0meRtpYWgXHy+yKmyPzV+cxB1o9ZEZqDky5EX
c/YkdMyaw+vJfz9DIGKsND/gkre25jiM57FJnnVjTjZNn15yjYistPZR3Lnf6NbcG7Pz8edX6Mfe
6vLF8UgIJYROL5iifrmCr6psZ85FGkRVubMMX22icfoEP2mtzBp8s5TIh0L6T07Vu78ovl6Sd/+q
h5YXxl0BhoUhBgHKLCM/vnBWuk4JvifeKRgDG0U78OCoud1LWUqglU2zjpy5XxW1tK6yiQc6b+Jy
5aicC5qOcpOGwRadobuyHJ4pfBzJ2vVpfhbVMO3SmMnl0p5PqORQOP/8O3s711neu43Zw2W+Q+y3
Q/bpD1+a6Fyzn5ww3SEwy9eVZllXQQht3eiRRg9dsUmcNt21fpudSzKsekM/LC105PgEvmX24fcF
yByhmJxsxx491dBpcTU+NB4zGhepEZF0MH/5+fv++7U2iWzFSCdZkPAnsmu8vtYtUl5R97ztAeYG
3DMWBSUoW16+6NouXTT3LY4AM5X/VvH7crFt5vNYrdDJCTJof3zlThI617k1nOGeDK8eeIPnLor6
n3++H6ue318F/6VLycOHY8H58VXytITSW6XpLpycfOfUVXJEW3b5+Yso843a7+Xq4w+SKAt0Ti3y
zdVHuuc4BDSn9LfTZ9/xa2LNGxdBQG40SFp5yF1tYG8hnhnh3MxRzkqf9QA0XzmDw8m7kH2HIBZ9
sV+QuKRhrwjEPm24yZN4kJA9Sb3EGf6g2ehlBbx6OU71IYIrsE7GDnkRIvwtaacYN+isgDOzdgLf
ATkO8H2jijRaBICkxYWWfmKwhOW1w7Xh+vy8WSkFxJeRspz5r2rE4oEhtmCiEpFZBmjEC13kV1I2
H8Z2mXOXNMZADF2yObpYsXGXEVxw9CGZeaYRP6PhL/YEqkFAdfO9NoIL7mzhbtMieq4DOAwwLQwE
PZgIEqRgntK5v/OggVdWphe75x4kEu89A6d526fuQ8jNsSKcnvdt3OWRq+0HJFAbQ7aPes7TPiyr
9wQS7GM5WjA4NIjbiBXlKjF5sdSNzSfYYyzL0qGTOkSXJkDRZlRAYQM7RUUlrc85eUerACPkfc8J
2IujmY14tuG6pPGzHvKh+6BVa1JzqI3b9r6WZCQm7J4DffdgGOicKxbuoSubTcIGso6xB9Hj0R4d
lONr06/dlRsaCOlA70Osb8Itjxhseyu6MIJaUP5gzZhXA+GZ6FNmZnay0vJdrLsPVQMqidYnyHp/
CWzCbsnG0pur1ODSkDh3bxOPQNIGKNre3/lOfqlFw2ilg8OuOeSWu0CMQUiyWNZVDN01tbdVlT7D
fpBMpvoreM1I6ZPnFHn9jv5wA8afD9oMGagNg2hM7kCIMWqNVuRMsB7enIo9IDFMcmw61AXEliCr
WLbMqaC+SnReauqTZy3AfmRzZfGJPFt6wV8JklT6BMlETuAQfqOsQeUQPBfLBDHHwOSRyaaIWYFG
jlPCC9F8rtI5u2BKS2865MArWBDqHR3s7RyHFxv6+j4Er3plI9QWLXD7mvL0RGQHtdVyYagMzo2N
dymhZb56uXengdtGwIryGvwSRIVGFwW53LMC484gVXVHwsRFiR5EE3e4Th/Je7lx65n37efj1hnN
fKNn9m5C6lq6FDJhRdzKyyOQcYdhCr9r2hrGa0/xyfxlBrTIxeqipdrQ+H1FVhqeCrmDCIVAhit4
XMquYOIEI+cEuIL46MGPVqXipi3a6PLyxnm7VDGcsknhYk/jWIpIw+qaj6CGgNu3ZLiRE8Gj5oTl
deG6FRYUrh3hJMlmrkhFskfeE0JEL2rdeBWToFIMBUPJxI+3YwtGIGMB05plwXKIn575HNy6hH4s
F5hQoTuIrY9FyXNFoMJzZfOu/Sq+vCwXwDqf25E6WiEE9PIYS33c2DgNUnaQ0p6ITNBbKH8DXyKH
AeqhmXqKKtnxepqVdKvhQcNsWCOeUhhDEE/bc/lIYNTpZXdyBXexCPgGLN30j9KOnwns8m9JkNpm
FEmEU8/mpm7ycmuNEumf+zVPWUwM5tLrnKLLo43/vml4jk2N39svyka74AsZrV3tpBco1i/L2UQu
vRem9vllUeoslhcAgY/xyHuLOvtMgtW8rwCuc97JdxFBsARNxBfIUPFKGTAT056L+3KaCJeCxSZd
e7NsO3bhnF8+4TAlz8sjAY/jbtkKsIvetSVv7OUalNI9R5kG7y1f4p2GkwpiazGocdvkKiO8lBis
Qq8fRWzqJ6uOn5MySOk2c6vUgpvxZaVT+AZBBamHYrJYUe1Zw9XlDjeNmtrNqPH8xjyZDBlmfkqB
gUuTxj+2y9UZNe48lCmnGXg1nGKeQ5KIx+PLShyNSyGGz35NrCx7BsCV9TQr1DLlYuoLiBGqZzWS
XM3fQmYdueu7cgtXBTcFrptz4SLMVFbJ9tOwInAP8+uXfcUgVtFrluI5sS0Erf5mCpNpZ/gLK23i
i1zusHHmX4YlZTorzbafuVRDwU0HmLtc0R/kNu1ZfVTPpTFcCorl6jZx/YjfFK9oyKrPKSjfVQG/
sCIDbPuy/qbL6ggFK9/liW7AiCmKfRWDd1z2OJRVcLVD7mqr4wFywNvaNu9aViw3C9B7/VIO4+1B
cg39+Frz0+k9aS0ozki09oyQ4kqMyeXlXsnb7IIH5RnC+IMv4okNg4jkvuerXnYbaFpsjC2PgF+3
yfXo2Mna1my4oj0+RrMlk8OSUeeRIlBt8fMEXNs6Og+L3JX5B/W55Wzjqgr3KUL3NdtJdWaVrK4i
MwQEMeSG11jggEcjJOlEn10g6oPaFAVEjxjzFnOOYRo8P7SYiZdzcAmdsaspp81o2+slnlUVYdd3
QkqNMXouquKRjJB2O3Ky+qK5yfyOSFDkzATAroMS0lNeBWTlqAgujq4/0t1HNZFNORWxQcYhNMO1
YRAQEqSkq84ck/oiWEqDsi8OtRU6t3qX4R6G774yB8b6yeJHVMsBLgmpk6u5Pht6aG4dcyRi3g0u
nbZEjjmyWdHyMoDrzc02QUl2NRNy6ZU5i/1yzCsckFwhiCgk7ujLLCRoe1fLqnNkEZs65nG0Goq0
3Vjkbqwa8ha8MQ1MahS0WCTXsfNOfGO9rL/FMwVb21vkp1Q5tkcf/QT9yEPrVo8pecMew3ZwG4Y9
XPcGqJtEGc0OMiLxkbHp8/JEGORLJir6On73nOOR0PVuW0PTTQvgVmkwfEvaOtxnlfKJFfFDNG72
F0ZlmziYvnTQbRgyMqgINSDCBbGRYESJPuFuIG4oIYUP4gQKMpD+gjMcfCkZ0eaPCbA0GtAZfWCu
KZ5vsaysaElTJkK8CnBXblTANQ3CawbhV1HB+mv2w3tdDMfaRvqhoqxkKde+oeLmGRgAEcNokpuk
056sllU3rnSsabN5FySx9GJms7VmJMS7sWSKuGvWdUT4KlBssW7GjKd2OfmQ5hJ7YmZZirroWR8L
l6gE6ifdZ6Up8nB6D7ysWq7wvBpSdiAzt/3nIdYAKeoq/ZBXnQluTDy+CDg1vXnMfVocWVLVX4LZ
JZtGy7vNbDvtLikogsGszdshoWISnOEIUNEkC9eyjptacjIE+1zA4gAErd1ofeHuurLmp5YTPRoV
lgODx1QRqsomo98Zo6q9NI8QLmTct8Vyi3Jg3pnDcCHxBihl3t+FYNw2vovxWcvJs5vZCpb32StB
fjOLU2PrHAvZrT2IeJdODy+JVTwKgJgwfcVdMxNN1gowc0PYjEddDzFpC0ASpRPcAlsDF6Z/5gBZ
bUVv1VeNkPX7Tks+xexpAQrPSk7ucahZ1OQQJ4Qz8G4UVRVs75bqellOZ7y+1wnOhXWvWmjZlnow
ouRSwlunwBhvZ8A5VIHAvWvqGk13T2SI2JwbFTIIOaAsHfE/yAGUL1EXrUz5rFFtn7HQhLei1stP
LwbznDIZdrJzSE3uMCLNtT3JhwBAR77TLF1GcaajPhRGXl8FWjQ8ZBXUp7bmdpNL8yoK0CQkSbia
FOua31DnJFU4njXNIPTOdpdFelHl9j14JatpkSJgTOeg05e7PAIgQyDLPg30HWas5oCl6DnXwueA
3b6u2YeIpDnjYRHrlx2dmA7C4Sh3quVeDbhNzr65hGpQE3C4xjVtEG+q8YbxabJn5lORZt5yasF4
MnqObSXrLqgfi4ytB3/GcBOUPFKMhrjYeZvv0Hv5x4nOJOFp6XiT2G1yX3V9tMoEYL1AkKjjhFR3
nOhBjXFPMj7KTxEpHSvEGeQMKVc/kdfGqi+5h8fQmCFgOuHXOhphdyFZoANC2IW7UNA7jbvJxX/0
lA4Nv6XOnsUsxCXz+/yUsuu93P2cNzetE0dHDqvPNCH4VKl9r8ZoZ7vyjrxajno+O1dcat+WRpVl
ztW+C9z+2gJkDGh52QMD7s8O+OOqoYZiUQjKu9qFvm62brliPoRjXoTnKWIZoxmZbDJHwky02qPW
zRErbgnqdZ43ZsXLgwSlXjUpsCJN3qR1TyahiSJZCwd9jUbN3XK3s8URXA0czbx72XvB2zfcSf7D
zw/+L4iNNx0rGzYEyk3UHELYb+aVfdw7fUDQ8U7LOXQmkNA9q20fK+Abm1hk85ZMlIRPwVVu5xQ0
oQQbOiTlB6v6qKryQahI5xnmoLuUGZ0jtA24qoekD26FHGcQ7Y62R0DVrcNBoBMGF21nGlwF1VIA
t8H7l0bmyxnJ0eXXqM1C8PFtv7Ja+w5v3f9j7ryW40a6Lf0q8wI4AWTC3pYvepEUReoGIdOCN5lI
2KefD/xPTEhkhxhnLibmoqNbwRarCpVm77WXqXejZRzEb/N04bdTdTVZDgXdsBalAT2QkZwhOihg
pBiP2stiJPPahPVIAu778GdOeBBqGhWhYFurwDQjNIWed+clYXwuHGf6n0PkTATgo0B29UEF5BtE
Ki+ztErYKce4o+UIgzG+6HoQCV9QdMEqespeD15w/C1MtLVLomj8+9f6L6BYGDHMwJkFmQh47p+g
EWKIVZFW9Mc8wGizE0t66jR1Uuord1OQ6UTE2WBvMZ+VH8BVbwyfX/Eq2ndG3zgzuTi7vHlpdjYU
+yLqj6FCnOhxqBOpYzn32Uiim7u07dceQsqetEh4XQSsN0M1PEQExWBV4Dz//TGsCNy7xY34Y9XK
YhFlv8GBe9HbbdqMxdFdD4EVMHBJA8G/YDJ77bmfiKr/aD6xfrw3Lwk+iliD8YTt/Id7+xv0LGtU
IRpQ6oiLSrgv1RzuVcJ/OWXzOHV6IK3VGnc1maewb4fq9PcP/C9gIXMC3gBD0tdR1p/fe8VDlTjG
mKMKKcYICOq2+Dl0H6zwf3msoMzC8z0C+96PqbhNBURszxzJL3K3/QKLQufTV2vubrqofJkNIuG/
fy7n3z4YFlwsXIRRoPvizw+map1QllTmmGR5dwk9iVQeopnOHAlAOWP4mHJ94joMeib85Hs1lfNx
mJwWa0zVb8sh+7mUT39/T38yLf6z0Jkj+p698jzeLa521eRHdsseK/KvTevN//yn+C1yarxyUh8Y
bq1TxjcrC6ezIHBB/cNoHUT++Qh6EVh+XBfdMcyCG41SaFdbXr1vYjfb2lTNG2fwv7ll/rm1q3Np
B5/1mrk4ZCOO5sVPE47YUnvZ8gGJYJ3KvntbsGI9ljpbG1OoP9+WDCfiFvBQOVbRAE5TUjz7iqOm
R+u96YU49426SgHJviDlbA9dw1dkpZjjZIQjOXoCmKKOgxcjBBqqeqbIkDcjjpAbk+c//O6EcJfk
bZcSxARn2clP0KN/9QkODlXS5wigkn0agNQECG0I5GG2tE4dCyyBNsImTNclQQPS6dpb2/hFkCrI
vD621jwfoKx1bPd6seXks57/vkLeSrcA1ddJMrZa0ie0xX87z42cYTI0hu0xiWkXZk8l28AkMAfH
ClwswAN0Tkmrm0zlbsww2K8fE2h1SwRpQ0EYANXG3HRLvmqn7R43PZsp0bDWzVgkkxdUJWhMcZba
6BAkNKk+PM9eSSB/HmgBfCTE5RI9ou3Zb24zsAzOeU2xSVGKJXgUWtjgSCKLA/3cC0gYqV9d4RSn
904eKJwqsoMekS/8/VG+X/xoSCKWl2BybyOF+3OVweyU7RAk6tjO+kKMPBjBSsjqwf/ghcT7k4bR
IdwtKKVwY3DW/POVmILESuAJfIxrUMGcusfByv+gAlP/KpcOhCMAlcpWdBmH7IYwbsQRoie0Gmof
Xrdt+l3Qwmcj86agot8raAF5vsW+WXvGmuYdfPsKTjjAKZbpJwvTpA9mef/2pTHAYwDqBTY8preT
Y/ykQ+EsaXtMu4rkwtLN8Gid2m3VUXXCzFd7OfY/135pLoCfepX+mqvwgxPr/QEZQItgnihR97y/
JkrRd0HrOO3Rdpt/ZDSrLY+BFyu12I7zR68m3k+wgpUJHDH3lZA5wzeFh2wcg6OGaJlfjsmhaJs1
Q9Q/L51IthH2ygC4FNQQtLkiMDO6rZbmuZma4tqvKO5dO/nehs58jV33chpovDeFW9CZV3T2hDwP
17kcb/++qN/fo7xjNJ0UxD4n+lsigfamoOomthYm2PCYutbsLLzbEHrQPwFlI+C0yw+Glv9S8PNq
rAhIxHCoICX/ub5LSoexUUT2kVLEEm6kSyM+IU9p3AlhhwFPJVeajrYn9yf1L3Hz/PSKGYK3W3si
ve1dVgMhxAyKdqYYCGD3JBF4TeIcFNVsK2kxU5+2W3rmWSzUW6+YSO3QOAnGzwcTrKdZ5oHXruMX
V/QZRhAJq7OR6cld4MElBUIBmGmfS0VqqWMx1GvJit0sDB0OabAW87hmH711QonG7NOrePV1ttGU
KE6Yuf1YO2E/M7zcZDOhiL9Ka5q2bduNBxh+9f/NsYEmEgIPM2F0xm9KTfIWs1S7HBukl6R3EGAB
BWhfDsJzzQZgueEOpMnNIvEd2Bw02+OLrkeiL8ZelPva1+NFMIMRvZ71lRgZjc4Z+h23a72dMeLl
dbTptk4E56fCc5Bx902a8yX8fVG+L2BDzleKVxgneL+sBjO/z9N14jKCxYjriEXavMEyv95Vwbol
3HS4THRUbSPMOV5cXIV2MhiKD+5M9/35i+gdiSicF+hQzlsKRRRORTROdXO0S6ZojdDTnVOA94ek
PDHyjNwnDF6qbSbT4tyjmUGKwQ05WeDYGEzQNxa12vV2UBF4xDLl7mKiFDAA8jFEs53+ApfgZyzs
s+3r/AFow7HA+fCm3qdxqp+9dp0GeIDsOaDk0a5WjG9a4dylzT5pNbpPduntWju60gN5j56/eId5
5bxUSfSLfxh64ATzj9vl5bEOIdjg6yA+qIf/pbIIBdU3cbcIwm3vrTkPGRtFnY9pQ1z76m3CgICQ
eUbCDhOhlhDl/WLKEUuJ5TzZGCriTAvukz0xPMDwex3DLHYPcUpHcstt/alczzflP2IlmTEXb19q
JvqEoDOLCOxqPv59ib0/90LhU1Gw723a1LctYm8sPPEAXo5W6B6dmPnielQUM3DkKxpVxtUHp967
4jlgTVGf0pS5VDJ2sL6l39oytDjxrAs6QaDtdjMjq4LSynX8OovpXr/enqHQwPkCkwPSSL+OAQeD
FEzC1d1rpYmog8yy2nx+dHi8vShf35xHXct+W1lD689/e3P+HOa5hfseUTtKAg3yHgjwYArA91Su
T+Xvj/9fXm7d4jCVJIFM4t21g5wA3VRTHEdvXbVBdTVbFFRux9qhd/yoI351kvi9ggw44zhRYHRC
ZCMIat3xv328VA9MG3VGimuaelfkhLqchTrYTW50YNSEHd5YUJFkNQ6LyIQ9onwJznEcq75xGzf4
MrpVdJcPPcq7/hbDs2mvfONv3HFQe1JL8adhpHVZhm19jMbZxwCozq5qiaFRPFRMNxc8prqMX54N
2l9n158y4PBz3qO9b/JOkcsuql0ehu2JHsZNt4RDjDs38fKtLVMS+eLxACKp9jpR7rFCCHQBl8Ni
olLcdjOpibRt8ogWkGeIhw3iLSvH/bVIbmv65MOCGpK0vDDc9Sk/SIX13VnZds6oyOigUDuQdJ7v
gpROLV4VjAUVHYigBlbPmFPv6qIibArSPzywIiJjtFI1AapudtHnehhhWhC+g4xF4jqnQvTEvAer
jfHCsx5a494maSZ2GMp1l2T4LcA/i/MVnYA84krjfbDR5NtCHcEHRRhSXxpiaHirn/DvXzZhTjqy
Sm55GBQhMbPsMVnCGqk7m8k2tRRRC/Ztq1R9jNvRxY5xRn3arl8gnlYEohif+UVPXR+QXrvLSgIf
RS4PuFBgmRWNPpASSTmzhT4t5IDcubWuDwwR3O2KShxCuViPczO6V9H66/PG3JpUPHoBbJNx8mGS
eL3c97pC4JR34QeA09vLC9ofG4odTB3DQWO/WeqcnI4nVREeUr0cdTpvgIg+2L1vD8/XlwhgGHqR
jUTKfvOA6cI8gIAkhDCQEzo7AL8OJNrsinaBDGKk4tlYH3VFb4sCXpSz06W4oZ/g2HhzQiVW6Od+
qgPy0wOyhhNyNdvFVozdCgfCACM9i5yDc6Nt8hhN0X0Aazlva3tMatYCWVDAg6eCuPy5qmZVETO6
pnj3fmsxl887vm257PJ8fUGyjM9tZMIjp90jsENxLF1/+Pz3U/OVAffHMba+ByBy7A+w64tWgvjv
K5ttg8m5tvwDEVjWbphVd6pcqWnE7Y7g6SGLthkJqN+wxoxveJDuTTPBOq2NCB8wnVt26RCgCBrd
/NCjsXy2O8GjVB3VXdoeKtR49+M8dyiuAz6OSYMrpVz/KmhH9SQSWAmbicy44xiZO9wlW7R9VvlB
8eWtze0fn5ECFm8P7P4QGeLv/qb4mzPju8Rr+4eeXXU1Sj0d7DZxttHQDBevHyJCnHZnj0lw1aX8
gMFjTBa4vexKB+7IQgm2k2ARW5nGySlK0nAXNDmGk/C5UOGKXy1cjBOBd1DIQvTuWSI/FbjR7Vud
DRckhSGFVb6GAbDgPzMFA1NttK1ensPm8DHoIXsChk+zzthrQgVasez0KmxHd34otOpuJv7mofUH
KBZpcj9bpE358VjezUv7tOhccgj1F97Y82ZJM9kkKh2uRRaYZ6upf/59yawxiu8eJyA8nMoAKFi+
7bXaKIqzhb7pkBQa7KS39DbIh6ssGR8qBOIoOF0HybDjbjJ/jrcCxGube214KpB1klMKelUwX0a4
zDbLa/zokLnb39ScB4yXo+WS3+JfDQOBPxPOPieApH7DQ/ePhT38WPI2uqTLs7e2gbLnmY7gFIFz
b6WF3lp+80R0X38YJuuRsCA0zQvB5X9/AmuQ5Zsn4NBzs2OlF7KBnTcLKses0wdO8Q7OwOUdolH4
KqaRIRhvPOYGxaemb0JzNCOO5tKq0LgvKsUd2YR4YmSkLaYxRnplU30m6xp6R8a2K1BzY8ft5dZB
jC0L00+snYYct7M1a2Q2Tb51sjDf9lhp7mfdH6c5deASuA/jIJ9dyyk3cxQ8xGn2k14HH2vmU5eV
sYJTAmnjGo+f8M5QT5KXFOJSNZS043XaEq47maMPNnB0GfkdGEyy0AdeEgd5+QGG829rh8mFC+jN
ufOuKJynLGVGydpB+vYLtUF4t+4V3WPOPTrJ8AGMG7y7uTABIy2CKgK4BhuPNwVy1YNV2b3hhIVO
RXRdFz1DLEsv26V2tvZSTQdpx/lN6pv0UoSaA09TfjkjD30aFBV8OMZbpolfhii+GhP/GqfE7uDA
8pn8ixm7X1wv2ddDDuWV/xcHS3/ZWRHrUhMavBMju5my/VfTqeWTaCDzOQovJadpulMv2QMtTeFV
3tn+vkhkckihxH8eh1LfM/AnyEekw6c2y7BUEvA0CtcB4vIXtU8sWhvIXNGZiewnPAIJlC5mTo4l
6jEaqIMrjbrierQ5lru2KA7d+naYmJZrIT589gjN23UD14yVDmG19USQHxqFRbUyVn4j7MZ2wdbs
rzIOSigyDuPslFDrQ6QrYOchsQ6KB7khc8/fp2BBVKBsiOWDjfYvq4VFAhaz8tHXW/LPy6nz/bKo
ElixoYaUk3s8P41Ny3Zp3GYXeGyIv2/s96/HVBFGOiUWjbr3tkv3ixpm8NJ4h7KqKEBadgO0OYIR
8iw8pYunPtgNzvvCkrbtVdZKw8swL1rf0W9dRAi9TYkkcQ/wmOQ+w3AEgCX0r7KKQRQphenlFLnZ
Pun8Q9v0+qQ7jgsfn459g1/+NhhrRgFjEG8nOmfMQ7io7IGv2m5cDSmBBOZW8VEyv9H3Vcdx7dXr
5e7FmpsnK++8uvk2r8dIUnu4bwoWne+U3+Avqj3+chzvTWbtErDJRwSxJO344TUOosWBKcMvhUfB
bhm9X0VQfhMp792yzXSYw3i5BNcSe6efAFYaTQwfa92xOPlfr9a2oNTSYZI+wyiT+6iCcO9A8oUj
wm6KIm7JlCVIpnxpX47GNcfGX2/TqoAM3lKXEF3AVVv1+I2te3UWnB+66ufv9cL5Vgys80WxxAut
uxOseO6egmO3K1r1lGXk9vDc5L7UvKGWAMYdiMuCPXXKFGBGf/6fn5asd1Sr1gEfArp50qf7XS9w
Gp+gFhCGyG/IU9Gd3awI2CwcFxlZr+fJTAsPcerOqbHDa0cxwO9xPD9HJglPXcAOJSGU7ymhgqjj
CN17A/kbzrc56qTTN5kDi6g2ccO9wMe0PCcnYHdZdu3gdPt+bvwjGqXoLKqMZ1d64bFc/M/+HPyo
4Otui9IVZ3bncIWmRu45wdaQ+JkAOFVSsmSU0a/bPfJ5fDBNeQWLW6CNqHRSHP8Ju5eGpp2v43V3
/T/Tfa4v9P+bWzb+YA5Mk9+OmfeaTt3X336k38r/dae//fynS39XcvLX//sX/LeUM/iv1RARuF/i
AYIRNvX4f0s5Hdw1OSXIrnnrRhb9F/cpRn+A7mg/Ge/8HyWn8P+LSW64qoshwjA8F/8TNzIaizeF
DxQI+OUoRhGC4br2VlutkqqdMy6lM/G1SX7ql664DTqvNztJniJZiVNf5qeKuIV+E7Q6xTc5rHtF
4GgqiOtz8z1Z2/q8pLXnXzs2CpnNgF1iv4FTkr0sWYvhUhKioNlbFTFeS+MjdPG0sPfgeTK5aTyv
WnMO5/bFLwn+3TVOVhPxUTvJaj1ddeEefWfw1I0cqY4J8NAJ22Fvz6OA5ha639tlLop9TAvCvJaE
0nJXC2yZt8sYjZ8iB5/J09SAUWzFZM/ipKZcIyVcBpjHA0KLOykIRt24bYv0Y/ac5LomoOgTdR6Z
H4UaApc4zrH1tspSmJDJsLJ/pZndLNAlQna661rufZ3GLno0XJyfFfotOCVhPP+QvmXu2ryMV8Zl
3W9Doo/7jdTu8C3Nu+lMXlgFrtX62Qu8j+6kiW+sYMLaNnMCX5N/Ifyz4xhYzTU16wbyqvA3ErHC
o/HF/Mz4aI17XERsmCA32QmDO9oFuegC1GnOK2/fdoG8FpUzXo/TYl3KqoSSuLjZciOzqnceBHcU
vjzurJID7hoy+jKYWp1nUrOcfRnhJbRd6kSo4zw5VlNuysRg8K+6ziPScX0uxV4tkkTwHB1EiBX5
TKtiuNo3MfLMZ2afaCnnYX1Y6bk3KWkcNfnP/Br3Er9XdQqLsJpvHURExF4G6eDcJkHI5NkKMK/K
R1JanXj1Ne2JqTWZ/Suf1UyGJjSqkXMO0zvQYTAksdHKEWh1OpI95ni54WpONyR7eEgfXHMg33GG
PQj+jFeBP8LBjfrgAWD1PLaWg7JxddW0SmI83Dx+oLRKbmQ5fBFEGyBcYArK+oDQ5/10qupcD5oo
i6Q+WiTqrLMdsV05zHsJgHedCFlf+Cyb+0q21tmfhoLUB8IuSuy6AL+rVQrdXvQ+ZIPEwu48RCa5
xOE1xi/4b7h4RtRDpa7KFCtAYbvpT3foymPo1tWXzHj1zSAL79QPq4gqarADiNJ+45GXcVuEbbDH
uKu5D7Tb3DBHZT5feMt+YcK2Esrs+HNSTg+FwUJtNkVyJumWvIgg0Betn0IxiJp4F0zS2hCZjmo7
lw+KWBcKpgQxbiLigx+XeCjVY7GBT+VshhgowTH9NS7di4LHDtKSz17/WKbt3dBqmC32ghs/+hKq
59TcxmnZUaXMhloFRpdXEQLlCa4xTR7GcE/TX0LitB7quv2n77O7An4FwUDIU0pjcH/Pu+DWGHZZ
EloQ9fgJs+2ifgbNbTmM5KM7sP5nfBG8Kv5ZOnh39XV0x01r/6NJot7opr1s/aAH1PQxA4+wWtPF
9CuozWXPAHWrRotvvpUVyUzFYkEMJsy97AmriT2U3BK3QZnRfCxz013lqRUgCqvKLY3+tB2DAC7u
7C3PBMg6hzyPF/oyVx1xwh2vw7SAER5a4wP84gffxPlF6VUBmoxyoDvUwT50J3ePN279iTjWbu8E
ZbJhFLzcwFvqXRzLJu9EoJJEymcN/c7PMWDaui7WpnOprAEvcTE/ZTk+8bOMx5soIiXHL4JiT0qL
R7Ko/tUqKXeYkKuLyY/lIXXGaE9Tn22xi6vuPMzOUNx14mKCGfq9aev6YNO78uEx+7tzjU0+5YC7
EiuBk9BA5dl7swq/jGSGkDA/QEX+7Va9+w+e84dHzOsQ73ecBx4HM0racmbAa9vwBqdsGq3SPLXT
cyi6wexiZ6z8ncma+bZDY/J5bIzLGdegLBilwoq/xjTjsVbWDHpSOj/7BE+SK1BWx9kXxoPDILD4
QRzFtw953+GaGu0Rn6o0iGmgGfBWWLSFTnr2+iocbyf0+7hRFcv41PmyuJ9RIckSeNcfvMs2W8Lr
ZemLuzQktsFVbYyJcS4lrnbCdN/hRa+FWep/WdNZYMgWM5S+AL3yBuuOEN1HgEwhiovuPI7BfOw5
3y+XxJoOZYr8ZJHDdGLyHl2Q8DtuQkFtJ0sUZMAL5gmrlXbnY1uGBB4gnVIWFx9DHcIQ2sshdXNv
mbABiYfKuPVHDL9OBFZbDXQih3b0CIkV35YJ6d1J24QyXQUugUekwiUbJm7WPzC85ouuE+65TBq1
bDWJyvdF4ROH1Bjvtpo7edfJNHlA8b1fJMHPWYb9k1Mvq0Q2d5rbKiL9OIRjfgtF1vtSW63cDTJU
OMcphuOm7jaJzcC0JVLjIJPwIfXCetuhEM3nyyEy3xrjHPsUhYIAk79p8+/DQBdtEUHXOPQ3HkAn
iXV5d5/aBbqxhgdHvbGtexteFcg68Wl2n32jXIfDjd/kpg+GC2PV92Lss5s0rlLI39K/G7L0FADO
nrlWCjAov3zSQdvEG7z41HkJenqPue2GfZsgikFKUD/nM+IkW7TfpzH1tlq76JUWJLgOa/NWBcp5
yBLvRwBV4b5J2XmwWPqbznhdcrDCtLO2IQ0bkdW942LuOiRR/bOc3fYZPBiMLCzIVTkic/du2qUd
BIey501fomVy+l1EJNW3GZ7Oi4npsh7ITRM17y9Q89ZnrPHiyCS9CVsjb7KUWIAxj4NV4sM0IcFf
8jutHsEklT+M29ox3pEsjYyhToBgs8r9Bykt80PCvtgUIqoeRD31JJ4zoD16mJ9uS9V7WB2n+rpv
+mhgVlsnX70qTO5t17jXZc55Q1IV93w/JjvfxQvV963wUYF0EIws/W9UtUXAdTIlzmm0VXmRkVCE
fA5VjU38tFXcj7Uaxy1jLtI2bF1kNg3Qyo1zKTi6PYddS44u+Vq7hBML5qReerVlbprcVCaJeJwi
59on8GvPBFndz01efVnx5H+IhelPlF4GB0rZMNNpFfFO6GUqNkJfn9qZRKGLKURstx+Z2T/5HpqN
Yi7kTeNWw32SR9Fz39E5Z5ULXqLj5H6xMITeSFvXD7yN4pHAP75dlXE1LW5pX/jhOFymyvUQiBOC
fZUW5VBvdaS8Naum2wstXmaUUhcAL6gn7LnIX0qTBc9zPP4a2p7MC8cZhpNj1wcxZ1xdo5d7x6KY
p69ws3SKKyy0KIymiL1H2zo8OG3pPsdTgP+oIJWu3SSdIIkhQ8B2AhmSXxfSTBCC5dYLzr75febE
0be2U9Oj467QFaB7AYQvcLunCsdHMLcHEgBt3Mw3TlP0h0wu/o/ed/NTa/UG/Aq8fNp7fdFzrzaA
xlt3MvNXO9QWtuLYAmzqOJfRRtRxcWm5ubp2+2Dc2Zi6/rQrje7ANl34hY5dk40SCUteEg2Z0GkI
O3kW/TjjbdlO2RqSqZmMGi6LF/Cj6sEbw+I8xkjP3ATOIjocFxDMjWuMKSIqsc04RN0Fhx5GLza5
OuWuiVU1EzM4iq8mIHjkNLlj+n3OG5pmYteH65aQ5Y0SMSKasgi65TKkxrbxek/I8uR4OcA6CX4m
KVz/OPP7izQXujgyl1qekI2Jdu8Y/DQ9YjY+152X3hm/Dr83k2MeUPQBMq5LkuapmEoWQcImrPC5
Y8sr1siWyMA11K7F2gqtMv3PVI3JxpikKjfA1skd0oHl0diZdUuyIId9YKdQ5qaltH6Z3q2Rk1Ui
Io6ns72bJcoA8RhqDtcKodvLkkpJIhuac4wOhPoHV1ESzZVPuljDoPm5nkCuDwUcVfxWXPeXyIZh
h0KgVPvKZAjtVRZM+xhDzWGj80I9ObAdx61VT9UeIgmBY1yi4z4qwjmlOugmZn3pYi47nUe3gJXR
Pc+nvhmNQ9Xpd/qlUqOzJ/C9xsGQ4qXF5la1L5VpjNpUoenJbbIyb+8k43TWWN4fZcUJsMs94JMt
aaesx7ydmltE39ltn4nkpCxJ3tHoJvKka/zstmVQDgx288KIbZq54EK1NtETojFsrL0m+OxgqfWd
PkY2m3zKXHej6tmfWQqZvtHzNAO0GTRYsx6fhW0/DJZRj9WgMFnu4f7c4uxgN3dDMaWnYRHeN6S/
AT+aS3OTJWI6K48oPKjf3XOvZPdrSuyw2hGVGT40Nqqtxc2Tp3ksuYmKIUjPOFWmsGiDML1MEKcV
Bwph6zpp4DUf+taqzykIEyMDmX7WeOtfzLU0+qLAhyLHkg0jQ0IVw/EGA2l9G4TIGkrMxPEsqKYN
SoDuHPhD+IKtzvSgKbemnYP8+Eyr5CcHZ5LlGQ5+pQ9GzdVu6VmdaB/nJrhVDvOXHTICe7uEw3y0
1Si/DXOtzzgSNDe2U0ybMQpmZEbaHXFMdlsqsBRwMtlEypruLI3/dlZ6449AJuZn0paE0PR5WGmE
h8NasXJOfKOdJSWKFj7Ywukng7O2BACENwaURfn8lIx56Wx4xGTfRFGb00uvIda7aigofxUbe94m
wyJ3xHCqc7705tH1ytzBE4KQOdhOEoftBDX/BgqIug4tdzoyxFv14/303DYyLm4rq/JZw3o9N9vM
niWBtJxHyjCyusOckipgoBPOjpNyZ+qLoFnwvaAqgggjmj3s7ZHFXEbLplUm+bHoRV52IVmxe2Qm
CyLDKimSXcXk8RLelbI3csQ/+GIsBys5Y3qjCUZ1m/lrG1G22X1efZ5UpP7xijE821ZUf/G8In2K
6qGfN4Owx+NoW865cQBUfX/qz3OdhtsF1eWvwhlnOmJok4hfq5rQSdWFw2524g6qoWcduZLUjhkD
fZxNM1aJgDY/AUyBIBaQKwpXftX1td7jEjkw/wRNZBL5FwG8hsNcMkjCEmR5GKbZvilBZ3bCKshL
i7sJK/Upb+47P4p/EM8FX97T6qG0p5k7u+sIF2qMRb9oZHa/AEoxKE/LL25kDTckq06PTRvU8MEW
ZFA8a/s2C2DYRXUbX3el7V0MbPjH2VD6a6ucT0kw4TCVTfWvJgzqW09o75FlTyWcuxcOqPZ5cmLz
nJjBvaxIproMFgcGqSf7M+x8fBiMrI+iUJsu8B6oyfUnaNvkdYHhX6W9bE6Fn/kvNt/c91iS3EgP
5B2GzNVk9jrFVdvX2V0XzFtgKncDj7lKNqMAZ+hikfwK3fRzDOnv5HrtvtKlhGUXjduGPnM/S09f
4UXwEg34k6iiG48R+Vd7Rkao9n34RsDmXyIOLODldjwTC/rDCZgMgFZgtqbzdgPnnXpA9BciJVcD
69XyMg5zvLXrNNsmzlR+hQ1ck0hMamkkaRG4HboTBBZzYoaLIa/BC5rP0x1IvZI7eIhRw+X59zbu
HSuCwG5I6ozjXcfFMM9/M1y1OH7rkYPkLIZMUHauVRrJq8lNO9buuPVYQvMWJoKzaXGbPhRzH5wx
los/VLy9G3TDM/ehd63YKv+S4RttCpn2CEpxuD7P2j/mQ2e+A42PeAMNbtTdhiGZaHeFjVx+jxHK
eD/MDf0fjhOG8ezA/k7d4WmcsHz8MsxCJ4cqj8DPZOpV6pvvwQjeuZ3lfVGocO8YqvPkfVk+hwo3
YPkKyJGs63wP6qmut4Ku8QvwBz7UxsgHMYzWD53GFN59mHwObNmvWRBJ9mwyuYrhBvea+FVAAQwX
voQ6YaFk6fQJo/kcFxekP/t5sYtLrAf0Ts6NpJCQye2I7HZroCvdB0E1X8Itltd9mXAd1l55kFP5
LGRjfzIiuSAVLtyKFbQMVviyfUUyUYZwQlrwvdM9kKt3377CnskrBArZy/7VvgKjwlXBT8RI4d3k
Ffp+SRbnC0RCpTYKIxrgr7Vgn4zX4y+WhBkuxuX0GZ8e1mn5Wt07r5V+9Fr1YzhPB5ANxfzDqzVn
JxOw2/y1T3BMI08x0gACvVUkoJKt7QRokv8NCgMZskUUnq1YfGZA0p/bSSew4kFCi2X2NlYeNStf
gZ4FLgLtS7h2MtXa0yCy549rn4PdqEn3BNtVDzlpgTjzjXREa28Url1SipnsTreEtAqlwShXRHTL
aWJ9L1+brGntt7Ay9r9Haw8m1m5stoC3FS4V8xYsh3atjVKxPPheV7x4omy/4Wtt9+RpGznh5Kp4
SF5Tejdmob88jljiwxaMVPus49avf1qpT6Rx6vXJLyORLd39fb+Kd7IM4BYcC5EHCuYTZPC84W6R
JpcPeFb054xa67q1pgTzmkztOi2Lc13Z4VmFuiK7vW/i/aQJGiqb+CqdGjSrlj+igDWJAk1brGQH
AlC3hIIX4z1dT0OGJDjpMyPrdiDgVqoHd8TmoRU4uidzNqLKnW4hGt4SKInsqRqd4cpBUGcYKEzx
D3if8oCxpH/2U1V8wmltAtL3yaHwnYdWplAZ4zss6hBnxwmEDBkfHDt5YI/LG1TC1zRmyLMt1x44
8Wx8jsHreq5sFfqnNFMenhs+BSp3h30a2qC88/3cvkOzAZevcb3kEepZfUyw3dljZG0lGyz/R7A3
PLFuOFzUXag7DFmoZAxJDC3OMpyr0bD3prK4WJRdqW3v4OhAA97WP4N+DRcrwp5C0jN3IhpIMUjG
eNfIfFi5ReUuQp1KtH0ZxC8pU4WXycMTdks0tj7EpkiPGTL9glvXDZhZ5IZ4kDk51aHHlnN9WIiz
p/E2mKt8+FnFEakoJfEcRzrhOttNXTSvRE9IhpugH6KTb+v4E6GR6fcK3x94l0m2j+Paup9ARkAK
MuzjM2+4KHOYEcLOnBugxYVVSdFZ5tF0CUnW+hrhBbfn1xnmw2F9X2R5KMB5W/XZnmN2ADLTzUBG
B87X7ZAe/L7nSlu84TCjNHsZhJM9/m/2zqw3duRM0/+l71ngGiQvei5yX5VSKrXeENKRxDW4B7df
Pw+PDbtsuLvHdzPAAIbhKh+VsjKTEd/3rlrUmM9VgvgR/60eLYuu4mga+uRhatq588C2jg6n1NJ2
3XZN1Qa15CEBJm5kJE+53mCISSMqmxfYS+1DbOl2xhIjghMWKX0r3EjnufYT61TK4tH3e+JtMgAK
8fsmQtxlPwitDs/9NGQSeEdXwSLBMuvd52lAWGA5k0jGbz7JaAc1LYPfPJM+U041qO4Epz0zUUGT
wUr58UiLq8jNT+M3a+XDX5m/mawGqcsGAtp9zn4zXTkp9bTVxP0c4cDpna843cq3EHQv3lnIlkKq
1EtDX8/32Jet+qFm+6ZVk0EAti2ZCe1FWQ/8N5uBJc6k1tX7OiP5ru8dY4+qqmWurmyWa0UTt1qQ
TZUmu8QTDfw3AIazqmOjOFrKYp6ofmO6wwzvknH/SsEn0t42vBEU9kpMOQ+ImcAMufGhCiYU/J3v
bkqjUPOrJuYFnvQ4RFBEjVY4uzIdm4///qBy/pm7JAKQtjzTtknERbg2c5t/klroIPMpkKi790PC
I/xLldansnv4/Uv+LY77HP+q6Rz4aX/3Of+Nsf5dA/X3v7oVkv/88x/5v5TjRvqMMuW/zi0+x1NR
f/xDx9bMbP/lx/4WUmzjcMbti/bL5cP5e0LxrK7m0cObaCIk+VtCsWn/QfsVdj9dRyRjuHMO+19L
I03jD1SrArEwUh1+lkjzf6dli9/xD3o+hzRVlKG4N6C0HV74P341BqOZSJeS3S7v7IKhIC+3vVPJ
bZ0YdxaSm30cdDwvBotxqL7NQARzb/3/pIGm8u5fvA44fOy1GKJtoLN/fB2WH2qFUQS08VBwv2td
Y2NbKfHIS6GQXx1hQCtxHxDVpWLQvxGAeGGGwTlhBllUtXVTFZF65m7iXojvLD0/Wgn2yNhrHdYn
PFnCPZZGycaBjtR22odRjThV6Nv4Xfeqq6eevPuRWN0hyNeJbO6HdLj0KZEWFmgUIuGgARyV4UVL
SkmSc3pTsVWvGyv8sN20WBF1I1YO52JJHlwN+M8vWikPMTzH1GvTlDeKaTdpMJJjad0T6j9Hm6bR
gje2gQl5jQRkYVhM+gYCcVEM4tTl0tg4UbgczXOhFRtRWSQ6vmjpBL6aPJISfCA1cmda7iGHL8ae
ACVYPQ6D80ZOrbsYh/QODbZa2GHnLAe78HaWE7/gNburvekgBue7iOKdp7/TuvMEcg2n5Z5rp76K
wNhSvbAG9Vj1plktTJeXQbjKclSUdBNEWGTdV1xZAhmEZeBnED+mPwX7xjHBZiZLciIifRjc6ciM
cNY8LFckrmSL3jCZ78Ujtd77Wr/SOb3EcyCwSfeP1RDeo00DNwStull+SmTRuCbApxX9oUqsJ0kI
xkLXbDCxxyoffjrp7YdGf5tIxBixby2ivnwlJX4zOvHRrCwHRT0QQlCsW9d/4uu1SB1yStkR0MVT
ZNl261Hv7kIteA3K6dgJ64pSG1W2q54MC2WU8VVIedfo3VF1A7C6ClfFAE8LG4Dq2MyXacDcMbTs
ju3StBEy66wJLl/NKhJPUGT6ggDnrwL8mzhtuSqahCIjAlVk0v7S5x7yQKfIAlgD8HMNrM2GF70k
0rjZ8sWt6+mS4HB66SZ5bFL7IRi6buuNM25EddfeNsUKu96RgMyVqPIdfY2vQgXfNH2fx+lSOk+N
LfFaVlpMPKr+wE3K0NlP+zJMXmwj7yHHi1WXRPdT4J66oVqRcbLpHOtijw+1V55xnC6bOuKetcfi
xN63U8oIV0oA1g5Btg6TlrsWrXMLTIKH1El3XnTfhcYpLxgG/H2TUyBE/PSC4+A+nrNeSfh+KYlP
nijZCaZ4nfQ5LKFm1OfKN6jKDqmbj4W1HqkaazySXDNvU6X3UP7LvjQeaFtbGYW9yfTpGYBw11E7
UrdRv8AA+kIVy9LWsi1fDXelE2uztwplw+JRLB504q5QxiEyXQbf6SnuTGdVKfcN5JdqWMBTTH8E
tjJkyOHims2WsKJlPnnukVK5NZryX6Kz740ALM0OzYuvq35RQe/FfrjH3/iep9U+Vs5XkRr7BMEr
LiJC8MxCbtIs3zlzkTXcM0JTF1MfMWtXgPFmOQX6JSTvZp0b9zXtoXqj885DyoW6tvfK+CzjvF9B
QSOvrbuNPUJgasK5d5g+ZZagTsjLGzKjbYeuZhk7ET0aTflZOP7KHsWzBLsV/I2VmaSbDIn1ahwK
lIX1kzvVlyBv39QoS7hyFaEF9J6nfnx0e+iowSfjrz0WYbDoZH0DT7tMVvXWZs672ZqgUsFJH9Vb
NaYv6ejKbVvy70E2xagV67qD5nRj8zra2tX3eHskgkoApwPAe7xUpCYuKlLfENDWyc71+n0PVW6a
1naqyx8rldtcJR9eiG8RPgOkNTLPFaTzIq/KYWlU3jfq/OfBQSgIPLOGVd1U1pzZZJMqi5AlXTRG
vvMm/8NUBE5Vjc/3r9Vp10G2YCbak8nGPwfKrnnC7qg9fan8HAsvNhib5vmlLpuPJHV5MFCgRG3/
hv75nqzAm9Z7J71r7yZT7xYN68O2IVbRLML9FNrfSC6hq2siKEHSThNvqxYEZ+bCDSKjGKEIWP44
K4g1zfaWUY19vR6CtQUQwaO3b9FfrCFl7usSwdUYhSnpC9rZ1p2cQLH4Cz3GtpmyK2myhJRq4UOT
qS1dH1Sc00QHl1gL96x8a19M9qFvUA7VBxG1y5TwM9p9YWaI8RLOm7LSp0A21OjVW+CjBSraZVVw
COlFsGmjYFvWYlUW71GT30nffelqYz9k/qrN7GPftLu+K4FK85WBhh7mUez1eED+lbSL1H2sgn5F
WuNujO+qon0ZQev7PtuReEm+r/GqsvZi9h1qf5+mYX8btwHxkE2wm7RoFp3XNxG0H3XKDhHZQ3oQ
9YtHw6+Tga4SgJz75q7PFL1rpwHsGoVQTFRd/aBN1nkcOLnKQSwoVCJg2HHvnSH6Lsdj2LnrwtUv
0fBDG+MdFjf0JmjddesHlSmUHPV9KjOOzG/En8U/sZl/RaF9sUR7Z4l6F6fhDQndWldRuHBq/9VL
CHJUPy1q02rk6GTHbJz6zqkGHsLilUfkuRqdg5u9dx7pdl3+HuIRbNLkpHR1cVG7WgSmbM0gOuN/
eSFuFhVLAaQ03Cnib8dSXipHvstwbmTW7E/fre46Ze6KYTyzZcpVm1jLxDd20mrwDagPNalXYkDX
GaoNLHog6fmntMZjpBEAGCxyWgQ9p6DpkPjdhuQgmVH8l0D+xI9Ub1ocChHeSI5lhaGplbi91Lod
5La3zlPi7Xszu+h+/N15HZqpMIYj4P4sQNEHRC5UxUSpfiYdE+bRr06hnT7UuSAaU1yVBANCoRbL
9i0659Q5N08J8QBWpW3KJkGn0OwQDRcLq8PHHLugTpO5ziP+tZJ73FW5crfZ0O8gJb8I5zhGMSRk
xRtYmydbmiyhQ0b/3qwQz472gI3SFc/1UH/SyResW9uWhN5GxJppSKnSdloOM0lAwcBDD06/FFFD
tJuuM9gU0BRFZy2J9D2kSbaEBCMGxHbuy0i8Qaj8MgP1QtPBlkAkuXDt+rlOKVTsk+fErdekdC4F
tZvhwDAz3TpIc8XBSzD20nLktSqJpwma7Wg4a7fTlmZ47nqHiPBoOIF8UsNQLP3+J4vkktiEtiIF
EXds0MaXBEY2Hlcic5fDdZiiTdGQ95VfKujwlYaPHtow4v6I0Z6rq+IqWo1sqkm/naiUds2XsNev
sdI5D7xtzDYap1tw8J2K7fsJS2NZq9Ogy4fOuJcWXyDCSaf4XdOjxVAZ6aJQiAOSz75vd6I3T3FZ
h0R4DofBbwiIq8SPnz9HPJtjER4wsBClWewCn0UC1UHc0t06hovMuwmyOzy7/YhJJdR1X62cQAdu
YH5QmvuSthCKY/VcTSFp0NpemUcCaQgh5ciyGUmHQBwqKR4NeeucdViMwOCqSSsynl1BYLaUTyFC
uGXekQfo43xWFNoyWjYT/Yd5ei49QVqoE9FsSXrAHga8Zoas/fYVwrF4rloqK6fYUSSnteNP3oJc
+AnS9Tq1uq+uL9I1mSH61nESdodJBAg5FACL5wxrBLn6L5Fn0YNnSXHUq9AJEckJufPNMn0ucJSu
M0P6V+Bl3kmtjd4l0/AuwwMM8Im2fd2StXgggcdUS6Q50RrijQc2i/fGDE6hTtS/+ZXeL4wo0yeE
m76TztgSDJkYjwXVTBvDDduLFxGho+eJPOqaWz+y7zEfM5gNi67Om4dKptbN4xUvNb/ibkmifq8b
TXksOhsGW4P8cuuQO27ShlUwGt4+RGcCuUXoBvhXWZ3zIgnX3DUQz9Dqe42E0bOZu8EBl1Vz8FEL
EQmtsXoNtc/7Dsp0brGPL3NzPBeeSWZ5OOrJI7Yw91mvdRDzIoc3AmbahGIKL/YwFW8USfh3YEfV
E4sOz4/XhPLTS4R61TLL6ZFuRsnF7lrn5vhJdPUtfXxoer+8M3rA9s5Ohktd+NFxtJ871KxQePXW
n9rhGkD6PWm2PXaLPB7NNwdt4Wao6Jq1Qa0e6s5VJBVP7okK0/Y9cmJ3JwvlYVkbhs+knvJ7lfXt
vUNQ+CVTRrKXMcn9yNJnZ14c0XjrqQ2qWShT5vqFsEr0CN2EoiAwjWVhJxK2Kiy3cl6w0bbRHxqF
CHHTrMcYAiXyYkGvLQeOp/fEycy7clAWYhLXOKLHRKuEsBjDXHxfDO9DpOjKRUnVtdl4gXTmJi3l
2D02fDNHI141o9wW9MWtVDX9gtMFeO0bRbpF0N0CTTx5+XQRVfom4plpk/uIJAt7ojHVbhGXi+FY
xckablasHddZIlYIV7bmI1/k/tXd116r9t2Y0J5g2F8i4zIzkw+bJAW0Q0u8w5uWpBmyfXsuBtsZ
wO8pyrvzQlvf5kH9MpjFzcztfax7d5mtVrYxLaPE4hWrbZfivaqfDaP116XWvGIdjRZjGDNRSnHr
7O4p0IxLOaIxA3FcxFF6GgdtH3ojLsSw25dGZa8cigh3Mp/d05N5GT30IqadUZecr/0qAtTuGxIC
GMqbOF4o0950dbvJG81cletGvSCiW7RFc/QjD5Gvtwmz/KfMm6c/4UP/Qq1p/TZv/V2tiZHcgdFB
silI2sJv5f8T6AJPxsTkiH4nshfW/Pg4DWq4DD0MMFbG8aCLvLobinB64HyKrj3tyDeD+NZLHVSi
XzQi7149pKif7u9HJZ2fmnF+fpz5SYrmZyqdny5YhOpo/H7i5mevmML0sbdoHl0UPJpqfka9+Wkl
pmY6ZPMTHPx+mIfQauiBSbVDGPCsj/NT783PP6nj4VpSyH2WfuNvyYtFAkVvk7dPgnRc5UZN9j1A
5AaeMESSzylDI0K/DwNOHr2FqKzs3rq5zsi5ZDTM52EUtY96UjSPetHIIzkjiKynur2EE9uYP590
ZoAhjOQnnbeLc9CZT0QtLIxvcz4l67GN91EJoV5W0RpSi8NUzeeqhrBkLX8ftlTa0MieetF7XjJn
lProX+0k9deRZabPMDgsDOC+AChRL47V2EcPtl8YvwJfG9aScCKrTLjkf18ChUqNbT/fDM18RwTz
bVHM90YS++OPPt8l9XyrgOcUz8Z80xDkwKXDp1nsQ9oJ1lAo8pc3307NfE9hM4z2w1CcivkOi+bb
DPH8Uxwg1Fl4UzN9ARIekTz4dEubRvPc11J/9UbVknsSZ+bL6LiAWlKZ41tPrQZPjQVZXYYAUCnf
zbUSXUG8OQOcSVrRAuH0ndtk+R3pHTFJDWZ0VwJQI4CqNiVL205okY8ivnaDD1s6FKdgf5tYbpCZ
bvAzuGhR2t+/0arZ812JWo97WnNzvkx5RB90UWT3RZ6ID68yzaNMOCS2ovfYV+GcmRQw5ub9gqzT
9NPSy4fOynD2lbrpVJsIuXVZsy0sFXQNgJckJCpBgbbQnXJYIyi6Rmybu16z3+ocKEfpHZvExFw5
8fUdcSZw2QxrXwtuSVLdsjaSa61P6hVaD4nKLid4iIX9myXmRfN052wp3183pf2EupUJSDOttY5Q
hhMWgQhyr+zq9UI7eZQOrrnoaczR0/jm6tQMirZJDpEQt9hIbkgZo2NS+ekudxmzldQPoWXQrdNF
A9zN0DH0tKS4k7n+HuP/2XlG/DOOGpXP1RQxFadqbRrjiRZ1fdFL/njPFwP5VvfqKKM45FiyN7kY
bBzkhbmtxqxeGZ0vF81kb72oIBQz7+lfp8xkA5gKrKLXH3BYD8yF5kIXA9yH0T+VxfBMOkr+2Gsl
65iXRVtbqc4jMTol0soto1WWkuRDTxlUkWYYWysR5cZDJYqyrms2ncmzVnjgmgF68oUWju4iHJr3
Pu/c/WikMB5T/u4YtFVLB2tD5uIGl76FKwAagq9V3CwqKYdlbczi+BJ7AT4UouToPqHl3EEaEvqS
0aLUWefvHQJXKdpiYhojVv7IC4rnImj5hEe2VpKvxbLxuxs/5+xDy8m4dgmve2o8kR/RXwd7s/T1
mVOJz0XgfhkEFd2oBJ/4FnCgaBI9cZf90N16wwBI/IER4yahtP2uLDBWFoL3LvOjL+KlnEVGd8gi
rRq5YirAnjLGn+NovvbZG/L/M2F1fCMoOxhz934yCrrT0/xHNNN1NArBKKwIJc9aYt81zzUpN4jD
u6Y2u5WVcDgaOotHl3tcVvhX0UCa+hPJqQ3bq/FrKHRr7VTJk0vKLPy/v9awXLMZl4guQiM6ha51
HN0edavF8zXUXBLUCMYrAOk7Cv7oPFduUe3ilgKDyNSiXdiH02vizUtmaI2baSDfeTE05IItk7ab
3oM4lXh/yM5xVaYtIXTNi9sm5UcSjdY+1IR+jHo/2Wet3VyCwm3vOzK379FYD58B58/RMCt3N8wT
VTfPVvjD1J01z1v978lrnsFMjfxPNH7aKvg9nXHi2k/ePLLV8/CmeMd/X7z/FkP1r7mnP9sr/9f/
GYm1/S7uPuR38/8OjYU38r+msW51XKoaXvE7p/J93H/953/8lcbix/5KY5l/WJaJIAiH5hwH/Scm
y/gD7oggKJzNYrZoQlf9tWsTJstxZrqKgBXbo0j+T0yW+YeP3dP2HMsz53I/799hsiBx/4lCYpwS
aASQTwlkj74+//9/YjnLPNW00TYUFbz2CNDIIg5mt5MdomAKcV5RioWLDgXdEjnJuJ2K9nswzRdy
ol6lm+nXoMLa4lT9V4t8nLoTOQMhQq00zdCIdK3yx7TUm+Mcrz4fgPlqwpSM2Tp5EKWGsYaWpB2z
JEdpWN7R5EF6TzxGjMbOa8FwAn8/XgtWOllSqTsS8ZSFKG9zysDol9C+EOPipSP01Sm06h1tG4AT
fNKOkxhLI8WH/Nawe4+hxzDqnzBwd8iHe7o8pAjvYTH8FbVh2lqvWLwNK8lPFDVZxzaxp0OpleIU
5QGpYKVryx6N5/gc+GBbcfrRE5KXAixSi9uOpM8SYbFm9wlWLbb7ZaSACRPTVlfaurZpndqnUhjD
3kwdtZmCsVjhHUJZURkIgFFHjAP8jWOoH0P5d80YirVRW+4Dmjd96ZfROqqadDs2JP4h8M7PblLQ
pDY0wacFhLoTjB0HNA3liuAPE/mf7+7T2igPehaKz1aM7/XgR0uLEXSOnm9mnR7/K7fKTyV87RyI
Tt8jUxCLGJXHasoc+zyltdo4svhOjLbfsgS7l1pPiCoLiS1RiYEAUi88oFIXW1lE00nvVzWow2Be
PaavsqR5qCDQDKWNSl+tYny1vTKi42FEuzjf1rLRT/Z8f5eFHWGj505PuVTi3Et3buG/+/O9Lzr+
OCF+Y7TpDbQYHQNCMU8K/CkKWnAMH2M3u0FI3Nx5rvDmCUOGQ3xrAlq7Upd4yYa0GGL9mElQhXiM
icwpU+pb636eXVqGGNciit0Fiz6rpHrh++p/D/PMo8/Tz2QW9UrOE1FXNqyDASHbw1oUA40QDE/J
PEV18zwFcTNXkthvWT7ou6RtrsY8faXzHCYSq9lIhKnPethREic81H/+jfqP+9xi3WTjYT2NsOE2
HbDSwu8oJx2GZiZrsRDXW0li6z4P4IOY1Ory3hYDZgBH01ZRnWYXnxo1FEQQXJSulxtsPvUFs113
CEI7Js6FDK4sijjO/GY7teV5Dp+PwJdrhC4AFdcmsb0tUy2OT6d5NsJmeMRgBUQF3b4z2hDHjS3o
i0nMbRp38jlL0njJR9Wte2fswLGTFvWx0oI3MPduHaRmdYrbBkf22Au0uDhWua2d2lypoP4uyjpf
hYy9oJHsX0LawwNAoL8qB/oW0JdYy7YRBwpGrQuaIbJVAwdRv9/HD72RMaqXaJr0ZCLmRxPTr3b0
uaSxiIreLaBmkzZdlJPxEKQtxUhsNPMUVGwoVUP03ARg1iKMVmnbo8kTJVC/Gc212DJDqDRqulj5
vaZexsYXTypU7q7yxuCFKHGCD3RiT5wOPXxsI6hPcEUdK9eJn+isAsctZrl35EzmNZsM7Q4v18QQ
lyUvqHNe9IituRAjhpkQM1Az3JdtZ35jx+iutAL0Ky1uSKogSIdQxqGYDl6kAfjDTLEd9d+d1ciL
W1o9hj12YHYn4IcA57jmZunGmMIXz87KO632jqR6Y+rCyRLCRVLPoS8lhiTcodVx6AICxpH4Jys5
pOwPXeQe7Uwm9/0UlKfAaJML6iUQGF2dlIg7PMVt9YLTTS3g5aB+qhHYbaQ3R8VknMtm5O1MpuSp
83kZWT9O1yCaHgYnlysTweuqGPt4j5r+gXsIpBKHzMbRnfCTLWjaGZl2C4dKx+KX04lm5u2lSD2H
SLspXtGSiWjRjE8D7tZrFdrFg5OgEpcx9HxtsPEhi5g3M+JLaKBjotYc39gTdaVWCMCdVRB7covF
q6YtAxeAJiuXilZKYDrX4hSOnW8Kd/KVL1icyFF4kLX4FZseEdYJzAnULay2XhIy0rHHWqqZ1p0K
OF4CEvqKPHgm0JlbcX4NRDvhf4vplyta33zxOp7mzDHFmtxy/0ytDX5qs3NsuqCtsP/UQoU3OSFt
6maW3o/TJGfZK05fyvP6CNeK6V06cskW2LstjUzGqMdVGKkN7AjmYy25uoMxU80ieS5JXF9XJhoM
f4qeZS62jtZnK8GdkCNF9N9gecnt9suvYuALJZrs1lVoWpNhpIAh0++mbgKXQDvKbZc8NW1tAm9q
/rKeP2kvHYON1THPe5Kjp8VJCBP8yVz83rlmwJs6WSCwSB3WLqkksxQmPlADeU+GZ3329JD0VZKT
Y1TbyxEIYlngn0O0ifiAbSCnXse1dk2X1rcQ68Zqasg2F3iwd9ZQfOgapxBVIavADNaidT7HHDLL
dr5gHKn2bg1YPsv5S1rZ/x93b2P5/Z//8fEF+72K+RjjX+2f51bXJlLeFMyjFjAbzLH1306+p4+v
jzT6H/8Bf5mBPf0PRlgecIOAb8tyfIzWf1FzueYfRJboJKL4COaRBP9tBLbcP3QUXuzn6EoIc5rn
5r+Kuax5pHY99AuW5VuEd7v/zgjszbKwP6m5NNpZXBtJMv+Yfxh97axFeJC29Ov1rtwoXrxAREMN
zZISMFTDlp9j59Byb6sQdR301nEPBbp6MkhEm9z15QTfknvYm7HQZvWzowXYcH1vfC4T6dtL8tOo
sKzpJcgW2FD9q4S9e3BT3R4IwJNsvpY7YY5blGFIJl7ZGQHSKJ2nqplDnj5hD7Vy37HanhvTsQ7o
jvuPLhjzzzJKyQOs7aTcFjKv5VxpMYtvu4b1vB+FeK9H8IiFVfjDuB31FlGNmWVdtW8KLdBmEtaG
wi2NpDqgzowfBhA+2pimuro5rpKPitIFYqNUR1AUZoY3c0zl/TAYo7YcOjPtCFyYsgzLKJqdheVE
+ltFexI915aGXt1n5rkOeQyCRqtw9ytxtOHgJ9I+GCoMr85c2FF5sfloOol6oSnGuZeUYVxdmYqt
1tr+jqts2nb6kOMIFG5w6sCG4ekI1LJCOFRT9Jq36VTNBBCaKvpFVjafo5Y1IIWZKTq02Wk/HUtN
WD990A2PEE3TN8pXSXteWFZvk5naF1+NiYGTLCHdSmKWe3Lt2dCnlGzvIxCQuzFJGMx9OjOdBS33
3TbN4nBYJGHXP5Fkpj1XfoxAi7lDf8JtzZTlC/Qd65jsjntPROZnYvTVtp7wpRsmoRhcKGFzzylN
NAQRCNJdyzLwj4mVtqckj0A8K6vOd25SxeREAaLWCzou23fK6TVIfVs136EMhptDuzGQtt1iBPZa
zaP0XoGookNolgxWWbZqfZtZjeZL/wLpgsuyHZN8WDo+0b5MOXQ4oz/G27SQ1DDaazh3zdrg+Ha/
SboK7FWUVQR8lUleTmuWCq5IzZf4mVunLt/xHkev+oxpCYk16iKdwenQW8ux4c3IZI94x1Xtkjd2
UASSS1AJ1WHWX6I8z4dV7IzR1TG4I3j3RfgqGyv4iZOSUIA6M1FjBaLdAX0q41eJIUouoloYHQ7N
gLokfldLsVxtRXgjM9M4KZ8lbRFkmbeP+r7BPBwNa63GOrXSY8lfN2ajnQwtBn7ulPLf7WKakvs2
6gTCpAFrftKP8glHnf2FYD9+G0J46EVN53y5ymMSOFh1nE2ia6m9nDVg+zJyKUuIEnJiaS/jrl2Z
eZV5S71IW3Lg/FBtRn+uqo6m0fv2u1qYq7TxudndzCHAYGjdB1Tfzb4TXYOPUqrhkbjg5tOvneYl
IZPiDnpv2jiqaYuVjAbw3LL2uwd0MM0L1J2zqJ2+OE6TUaEtZxBYD+T/MEF0QUc7gd+CMRbRHCmM
NY9spCJkjUq6EnlJkx5zI3WiNVm26CkTDIF7PFMoHkj/mFB25my6md4XkHRO5yy6xBVr0RTdL3+i
zwfvAmzxkp23PWdpNl4Fc4e3KQLKhJFTjMN2FvVssYnre9b5nmpoPsa3mj7RL2y7bLZmq49nHTj7
rFBInn0kVhHDpe1ee1nGj12nAUdnnTD2ek8xiM0md429vrs0oSnIIiIjkeVB5a9FEbnrbuqjTRME
pBbhmaVbnS6YDQrADB+2X8Lytzr6pMn2kvc87otLktUOKyFdYzgKhj3ryPSlGI89SmiiwsD6Xlgu
Uv2Rz16lJcE1dh+WbwCbKd7W0GT+RiyO3X5wa3zEevvEp4MXVh9D42LJHjQ8Y0g+aM7Q0yPuNZa/
LTyCH4NYU+Q/NFZf8l1Nik9mRnFrbcWXsNIVHEPYV8k7Sj0qjasewWJV1YQimcpunQ21vyZGBVqV
8kXr4mpnW9PL5yYxkvRqegUNle1oceiEOpWa9Inr5jFKRr1fdbz9E0R0q9FuXGJTp4eut2zofkI2
iKAu6zOysQDkPPdHyj9DSovrihblIQqjn0iri1XZ6PEtNOsGm19mcd2wcnjbpAqSaEl+h7uGACfB
KMzdeGezK2CKKtA82F01RAtrDLKD6juUek6XSVzTRYurNzFhWlg0wxXxg8N9T3oMSZigANuOqJy9
0QaKOV1l9hIpnDMgV7OSk1WTP7I0i9Zi97ciEoAutRpozo3Q11MM33TTif5f/CFS5nMQiq2ny0rI
BM4vzdd4dI/9gGthkWSKnyp4hQ9l4TYvVub1hHcwcWATah0g4VSHgS960itCJKAHHhuneJF01tIm
2jY7V3jbtiFHbzEa2Vvm1f6xFZL5AZUFYHzuZ4fImgUeRlLjt4ybwNEXHDs55xDu2Nq4Uhn1YBqF
v8B+Nn1l3AZc1HF7y/LMO0J7DctRooax86a95tTE/9hcPlumZOtg+eLDrXsUwMrPdlNvhTuzbZon
a3CsnZc6hFNFGchU6xFLUcU+NDfaY/9eUWeOtLJXw+wCLw8YV+VajLFCgmKwP1txXBMMFifDCeVi
e6KcgG7nLkjPmcNBPgtPK7pxKaEfl1C0GguBMDD4R51mUM08+gmykCrdT3FTXLFcZWT99NaJjIPk
SF6AfVSRQpMIptq8wq/4q8bJvV9k/uJZE7ldXWyZeVcWVhf4pCVx1S6DYGEOmvkFp2lieDHyhypB
5FyRxWKvZRraO91pyyc918mEVnz8BZT1q4xSV+KTJSJ3QcO1vjDcxL3LSdb5BeDmkA7n98WSLvny
va19Zzm1VXurzKb5RW5IeS9aMZzzOhk98KoEwsFpyL4ikw6Vvw4TQ8uG1TJzme7/Zu+8mttG3nT/
VabOxV4tVAiNVFv7r1oSDBIVqGBL1g2KSsg549PvD5Q0Y8keT9DUOT5byzvLUhMEG91vP+8TbuFt
h8M8m+SGhkC1O9O7xHt0/cI/S1xJOw6b3EzmMaJ+ELK8VthAs6b50orBXJjIji4l8lBkFgDX+2LC
ZkFjH7T9rWSgdMKXqQzo44U9p7zQWPlYcEGiNbQju++iJ6633CKjHu7ssUEaN+YD1i99UMY5HBar
vrKHLilmYYWlh6N5ATIpQx+GcwsV/9KEtf95BBRemkWa7GzVoNTIq2gyhKjcrp6RWZ0i6C00b8VX
1R0rnlezOgRueR6UGphOlhsRmTljzEqlZn0dL/LGL4MjM5SabNVg0+Ye5uVk62TZvREv8ctSTqs8
F9eq2dE3USs5GpaASa1C78XycAhTAS8CzxwTCCB9VTtth2IdMxt51OaNWkBdcoeu/NLVQRk6RCnI
2TwYY/ckwHs5c/Ta8A+ZIfY4z9Sg3qHYYlPryA+5wP6A+19ZjeA8moTNWu2T+LMQfnGRFzFWJCXn
oYtwELbTKq03l9BcbIJKt/COa+THAAItthd6laoL9l0CT00Vesssskr9ku5p4OPESkkw68rKTwEC
yEhxFHwCxBYTvtZddpz912asZpkTRSK32N5SC0E0W0WL7XYF5ZBvwfPmPQrSlUGE00Ucq3nhjHZn
jbPMjsVTmEi27qQ4FH2ydWnYBZYkP1hW3DSQ6kZ2crxLa9g1fci5umgKhBxxGOYw1Gp/4vl6T6qX
BRf1SIdusHMlWFJjYmolrADqcVaeN7gCO6WJ47mS0glcDlRtISRHYB6oHYREy01kzQyjcnd2V6gX
ckqJsaDqtaV5mdh6vOhzo5+YDfiF0FIeqdHQh9kjH3w2tkW2lNy0X5SmxmMi2JdhZfaNsihCOdtp
6E9V4i28eAHtHAZyrvbbTI7zYZ7mWUcvNi/BXphVKgljhb910fIfapEFaQM+WzkbjApiRtyqZNeX
2gTtmQzpfcISlWsCTc8/551pVU5hu/FTFsO1LrV4QC8hR4YTuwUtixDPZ7MhWq4sCSqttbLGRUfL
vbkrUwHCqwH28qC7LZoRZM3Ng0if6bKX7/xYKjcRRjUU+Fj0rKVasZ8GYbrDCjDO7E/IVJauMFZj
FAyaaLqaFnk0KmdOdYXI1j3KmNP3Q2xTNI90+y/YueHOaXAPNjRv08O8liPMiIhjWclSBfOuAIk0
2UMWXomBvqH6uGSkoTkeitAPZwCVzcLOMK5ohqrByrsWR0JT5RvqgEkTaqckUwRgS3od46zSuaML
5lzEdM5hq/Zh1NB0ach5SVDAkUdTQE1KCzk4N5HFLZQcbtZMx7FwIycq5ZQeuQu8z+6oU+2VzDO5
yJq6WgCqebfoP+u7AWIPLVzMgIjTUaNbr8rMc0TcVY+CNQmP6GfGq1GaTDK9ur+ij7IdMMH5osgw
BfWg5LlUe9KHXEPvj6yi7dYij72NYeQR990IAEtpOGNgHOirLJLV66IcieFDMWxMFXqCHZ0sAwSb
QiBEqr2QahbrpzudJWYdUJbCgenD6gRlxZSTCTzalC1wsCpheed42hgfQreiiJaTILvKMPRfUsIZ
6Hd7cSnGTDukKSFtMzy9Fh1G16C8odFeFVIOAsbKqx6SVWEtzL71r3j0UNsapNHOLbfJWR49lOVV
09oY/KVycpri9nGkuT7eYchV4K9YFl0QjWj2E13S8JgKfNy3iM22SJsO4TfFhTc4uoxtvC9jboBR
6ADjognry0GNg09N3LRbW8IyjGdX2Sp+aT8WlV8tYU24iB3UAWBQ6oRyjX6Jql6JwkO9MEIARhlY
n96GmCc161XQNCrSTiuhhZ02vtOkSbJCZQBvF84PpAEjd/Bw7DdSzIeNTAaZuVJaULJ6GeS4WGuu
S7Y6n3cr4uWUHOsE9NAuXRXOa+0TbT4bmpyoH5xXDDQsIQoFTe1PMvryk1FxR+Y1wHt6pSRKuDTw
Y9xmQn0yOQyyK+NxUTnIpuvjQfTm52n7XLRRhEg4xofpM5Jun+9yLDJriYinfsAMZJj/O4fzOHcx
3ltrg05FE5d974CsQgoeB18/G9lSGiemZfUSIPtPQ43/f/XM0ZFM4ai/3zOf+7v0IfB25Rv0kLb5
y18+Q4amcWBZsmoLGFoWzempOf4CGRoH9MpVnBsR5z4rQ1+65pp8YNoQA+3JEGRqtgMzvkKG8gEQ
ogIWDmyuGDLRLX9F//kWMTSFbFq2LZvISWVDFuQ7v0UOG98wEzkJh5XRlcWnhDiYm4LD4YmFQmEy
GSv7LxhY3rmRUj5apZbedpN1rNH6frMQVZdR+mXlwtQl+6ZU2uyoTXLPUawgftBjr7ne395/epr9
zyRwaOYPJ6Ozeyh3vzAhfzndMSV/We/axzj4Gtbe8zn2o7xMTO1AnUTGOLyYArhc+21iwsxQhLBN
OB7CokfDrHjlcwCAM1mnEFBd0SFa/DoxVflAhh6CfY2MqFmVkTP/hYn5Lo8A+rRsmCYpu7TouBD5
HUU2DGu119zYXXT4WoJdrgzhL2GMOlEvVl89tN/h4yoTOv4bHXf67NBFpmwBk1QXxNXv3stLJDAR
hEgLGsjL1mwvhqRYV5G5TMHKRrv4ksj6vO6ubW0pmeOZl4wyi/kN5jAzNeg3fUybmn7OH1wVd/Lb
q9LUSbjP5dFXePtkUpNlNslg7iL3h0WNvjA2unreqeZSwdJmxLXQlBJOfkREgKTYHpZVLpoXMOGV
Xs+Fmp//+IJYl769IkvVLBKv4Gna3yRVJbADJVv2gPbHxl9xKj4kOkFc4HDsnvU+rpS5LsVnwJxN
OeuNkQhRpC/1yFYURq2YrM9vpTLVz+l3xTgnWO5GCDqqZrqE8o4XT9rdmv19DLOmxcbEyNITA/lQ
1GE62SJ11Kky8Ukj+F2rkPL5NsegAPXa6BQw4lNVP5ELycHvbJmL1AljbIAwYWz84MiQLjo1uxhd
Orn4b4mCVElrmGQzTtfYMNvVI8/A7KPIjitDXeMChqb8ZkikQ8kv5mN7J6UbAwQHAE07yiEgqGId
2Z/bpr1uQdZm5UC6ad6bh6L+7HbNoUUUcNxmK8puJ6liLHi8c3R5gRmexvRTOQXOLX1YJEgodDby
SFCyuvEkP79M2vSIltGyrzSk8B6ioKReFqE1LCWs4dh46BhAmEHzSk1w0vrGkjSKHpdIyJkYBHVw
UNqlVtB40a8pYY8wN5+bKf6FMbg1ah0laJe4X5Eokq3Lqpt7ccXt4W1s4eRFd5GVOmbwuHhI2roB
B5qNXeuYOonIcGiV4s43zwCIj1PMH4MAUGGSFsr2US54MltrIYc4QgeXUZetpfIUs9Ul9ly7FlKK
EHdFn90CTOA9jNN9gWm9fVYRZmQP24BOgaW088Qyl5jwzT23ak5lW88vEQneemYineC8LjjSRGcS
XOwLSsasnntMLbV2kUslIrv3tALsL8+5aUmbh8iY0vixwujtXB29bGdrAUwCTZ8eGnfqULv+odmJ
S1Np1E9GpLaHWOc3X7p2ijnXbA+St4lFJGb73uckj9J5jF00yHIKvKRGuEHPXJ3+En1l5B8c2Zy6
HCVkEh1tJq7C6Hd6OcTrVE+QJPZF6534bR4c4xhyppeVcV6OrXlRq0mx/N9Ncs9J/IO273Pd9eNe
78kunWiO73ZFnprpz15YjuKAsg9KvSV0+qn70uu5XLPZFW2CAHVDF+pLH/d1V9QPIByaKnuVgr4B
hcNv26J2YHGg0RlxClzXsFr7C9ui+o1RhmzovA1uIjb6MoUQrrfbgl5UWF3i47wOyyBZD+jG5l5g
H+E+gN1O7ZGNjafqVYRH9kqQNDX3/LH/lFQ1ZvFKcF16dnEiFRYeEm7Sb0z0uBdVK86VFHwtGhUM
KTpoViqMYyhzcBjoV7mfhWolJyRkHlYlrlACG8hNHFUXEs4hrBS9f6fjSjHT2xCztjbehhacStjS
ZNagVRlQ8hWNYOsMbIJc4DQC54FH9m7tsroM+UkZit53YHpD7/Ez4D+CqVZBHplrKaXZvkZq0l8C
w/g3QZ4/YjefmkDZGmb4fRDeBioiRaKP17iSnoapgVGxH0ebDi8sp9JE5aQCXQb8N0c0k6xG76Cm
YXV2EeLYyhahrwewZyj3k/l+gExuLBFmtUWAqM0PbnB+AAsnCgDdUUqWalV1BVCchoaunASgNlo1
+gTLkvSIecUUiWZdneQXchc+dHolcFVzCYbzB/SVikxTxark20Tpoc3AmG5XAwpyEhOEd9l2/bzW
Oumybcz4vI0NaRV3ups6uXDlc9w9LWRnXgd/FfZ5i90xywsEyI6uM4gZLeso9uUU/lg9nLtAzcu6
EAmxAKy3TiPFbGxxTpTCYUm/e5P3cR0uXZrHwRyEMnIR6rh1u/Qtyd60GWKoWi3d8rDCZ8RfQXVv
j/A7KJDt22NhOK0+AJzqpkxbPawwUiZXXSCHLLT+c4prHy1UuzLpOJkFfJw2SVB1Ye5mb2sTb/RZ
grNSOVdsk15rhxyXrBJwpZu6MsqTsa4FhEA0h5MzoyvOfOLLFadGjIDZQwwIAhYLnSxtz3ShVcr5
EGHgPrfDSkJhKszYXAAAEIVul0rXXYToWLAtHzB/PmKGaXALLM8bncos1FNJ6nDDzINkA8DneXSW
8zJftUYB0T+EBXxU77WmnQJWOjc6+5z8r0PwLmOmEmlLTgZ2KHKd0PjRJgqE6S2Edsoh8CauzG0f
QtCKA1mdV0G59mu61Xopn8AH2LuhXbRae+fm4hIXucWgiOE0sLW1nkQTg6o4Dj3X0aIM+7YTg+1s
lk6R17k3zusy4ytTO2ImkyE59ORI2waDJj0ynZ3MohRs5a1ak12V9ta5LOMhn3X9jBpWXtoJzFo+
6pM2nid161QWf6Mo+U0iqeF5JcuHBFwETlfCxMRWQMzVKjScbGInB3F0aeeSOzOkamsZA1JDWuRF
h29gq1veGv15zL7pXyVa69N7NENUgLRzislZxjASCAUDLvxKklXzYRxl2KSZtBOCLlRhrvAI9qHO
Zd2szc3Jl02mBMs0x8QFu0DvDijuKml2IgehcWsP3qUaJ4EDHNWsOjfOeWTCZSRivDU0s55jlGbe
j2KEWKIMC8Xqq2NVDfE3Rqjmp7F72OrmJUvfiRci+tKKQcUbmGB57A+HEDKIGFRjBWNhleRWs+LA
8BDTnaCmHR7pp59pPi2XlpbDUlTWlQQN/LGrreiORtzTH9Tc+yr/t7MJlHkcOOldIPeAJzQZRb1d
7tO8B2sNFHsteWTH+wlZeDSvYSN6fa6f+QhUgrk0Npim6oBGJ3LWBzeE8xHe0Le05OGGQ++e94Tw
GlTUlEqhmjeTJ19UDszLwNIgIEYZdTYmkp+zMlXuyYXheVbKjgBAM48BH+NkxBYCcTns9B4nkqNI
8TkB+Hh+4Jqm6CwWmM5uUIa25HvuVxO0/KwsxX6Vwbgi3vQJpD2ibQZTRfZPUemXZQoEJ2MQDysy
vKhDCeIjVr/mYVkgBacr6KG8h5mh1t4SKX5zHGPJ2xFFsGyCYHKrbo/Jfek2OnZPWJz4Gzjy4SJU
KSAj1fYdHGbtuZrChcLU/2JMFAANlrNjI3X1VVGoECbbWp9jxY43cu+uMNhWj3ATrR8VlGyfytbL
FoVGENsiqgqCp6tIaXrcUDO7QZUbYADijjwthhyWzG4O0hltPrrYl8FQKd2GBiv9srDTYR+AxPc2
AWOcUBIHLBnpfGGPWwpRMasASoOsDDf03cUWd/KxRx/vpV9YFOgxFybsiawj9S8jdJsvtAjP8Lu3
HrxabwjZDs/LOFOPDBm2XEZLSDmRhRLh3hGYdMBoW4XzuE7G4DhBvLHxewkLHCuRViYkbWSIrbRS
kCVtSUdwZ5npefduEfC04jHe3A46qxfkLfWMWhcpGely5E4pdyJ2lbXcV8migslEBywpt/HksB7o
6ipOMry1CuWI3a5EESC1G8srLMfoS/K9cbuec4wPSsXCQWc4zmv9xvfGfsGdu6YFn81EFGDsSGbB
ggiIdqbmylVi19k8avp1SeIO+1y+snvtwZOVbmkU0n2B2sHHsUFZ5X59pBEzjb3hMYSaTZW4166n
OVbhH2L6dwd9E5ct+1RuW7IqmkZf9mPzAC1FOSVZ8BHeOSTXJheOYsrl0uola50p9Y5EgurIn04o
lRH5DwNOiEetYVXnCULaw6qC0x3mmD4mCWyCtq3uJ8htnuraQytie0milzGHu285iRIEG0GiwIhh
/CoZZOU0LewTZObDXMPxdJGm0uBoppIttTp350UDdbfVS3zQ8gYOMa4rNl92JLpwUVu5Q5WwzPKq
PhlzpYQ7PAwrU+S4fPTqJaL+HghcCYjLU9NjDNwNig/FOIWgrpxHelqRgegtcN0MDvE3judeB4IN
EI9PoWHrakfPIBaPFW7/C/o7+RMaMWvG9p0tRTNC5qkw1tcSddKV6p4TalG4Krp+cn6etKi9biJL
NfpBvTb3YtW2RLca6EGN7YKgfZQGYfiEHTOtpsRFAR82Xj0F9PVVvpJKDFcWOGclcMDZo8tpt6ZF
xsad7zdxY7+hayaWJGtrv9G3+01/3BcAUwAJlOd9YSD2RYIx1Qv+VDn872nrz5y2zD1CZwF1T6F9
YIETcvz7UPn30clf/gu40tklu3QPXNJ1+fpk9t23+A26VE1MdyePaiBshfPWC6YuH4CO67LOkQ63
0j3a/npIA1QXMHOBNWEFs2vjQfgCqk/YpUCCZBMZvB/yL0nRFO09dqdbliZUmj7Yyag6Th9vd23o
RF2ItYVYuN2nZshO7CtlScStxgFjhk0ZScYBVnTVhfYJsQC7CaqDqgiAPq5dnM8Cl2QU4u3lKLmF
8YLNy9onAI84TtMiK4ymO2aEh751N/SwG7FzmzXBddPdQhVYSHBcUfNcarkEa2SgVimJYT6Cm1/2
83jtYqWgnnoPVEGzVD8m3QzA4iQrsUgzniBzIi6mxJdAR4xDPawTgn+UU9qHztBJ89gfVslElcBA
H0PBcAn9h/ZSuURY5U3MkdMehT2W/kba3cl2CgVfPk8mdTNUCGuma0iKKxMjvfS+js8MrH+hUkY1
xCLihukuEsIAlIbuWd0qOBx68XioaeVySiOURHJE2R3PjeRY64m1gH5xVjUl/Bmv5HQjwQGUt7ES
U5+ENI217FFnJ52nhfgihxLosbpo8S7IkACGbkfhFi0HVIIlupqQCEGOsydaUG9rQzuFPHgfmca2
z7hWEtwxDFDUz30wfMqkcakmVE9CAEpD655N7RModozq+cHWS/CKLOyqmqgIpwXwWtj/Qa4zPKZ3
KOyEjOM7LZuEYQrsP9/NraiVqz7IMOXox+RTWUsUHaLa9q2+ptO4wGi8cGLTOKqjdBXnZ3rSr3RF
bOoECQorJxVhhWzLJUR18gCJJHkZNJiUhREaYVfbam22xELyUhN6Ce4OyUALNkW6kRuxKvN0owxL
zIoXNHaJfRjP9dhfW2ZHnW2f1nyFZGQ+CfxY9OiLxG126XIGZbL0MKBDp4xDcO0UHXSRsDq2bLDM
HvlgKa3zUd6WerlsNbEdZPvYEN5Jj+7Qxogq8eurkK2QKbkaATqUW4NTI6kVR4WBo1cGL1PKACpM
0paowjgHDADKbXBsoS4sMG3ieKwn1l1SD+s4lpE+Y9AIIYC0pGY8HnsMASx3N+T6MkP7lzAgRelE
jVKGI5aLa1X1gBWu1LI8IXhyTWV3lfa3Y6j3G1RmGTHuivmlcDUUXH58IxGN6+fKygiZIp1BFKdh
r2FCP8g919iS4egNGJzBhNAdG77EpgBOyI3x9qvV9Ts9DXWCgX47NzwvnZqJCw7tGwDY94qAMZOt
qOxS1CZZ9OghAnO5fW6p3BbwkMa2PFLM8qJwo9Oxac+8qoQ43J8GAXU/tS7IgXkc4bPjcLYHL7DP
sFNk7aovKstOsQmLtqHfPuV6+gezGwnFu+sGKYPjy1kUwT4dUOtdL6YCZ0E9AF5cmCUuSap25EZc
MKlQfcMBswTGdmMfxiLrYu4ZKPhZpAp80OiL9BAPCx+6rCnBci+LbsTW0GTOYgQCj2pN6CcdGyM+
Bc24ZGFdaXG/DcLmkmjLT6M2xY2oD56OVAd5k6tZtYNXIvyxgMNwaWCI2lsWS2OrPmEHB12/rqVj
eLKcKsa8nsV5d+G37bYDHcsNF4saIwXyJYLYMOxbqnhlpkXtFRnTZ3hoj6Q95k+pFPoLXcuvulp6
wuQfT73AeDKk+LIywhuK9lVJqCUO0U85jEm/9xDBcQVecVhWqIYt2Mu+/hnoaoUfAOrb8q7jkDVQ
iWZJt6gUjCS7udz6c/g91ykmHwhFkUdjaqLXJ7IUbDEJD/FDUVFmccQkSWfmN811WNafChmSXSpu
xqj45AX9GW78o9NOpB4J28+wmBeevNYRRet+t5a9kdjm8N6V88uYErxRNQciD9oKnfxFa+ul8mGW
d9tOWA4EictEUeHzEFHYyPbCVkjH9PSl58tLvvpjwi0XHUl+Rh9cQ9New51doDyd63Cts+OatMhq
0Je1HZNaFMyU6iYcL11UWRzhHb/Z2Hl0GKbuNRg7ptuQgODuK0tIaSsrImhy4ryVWv2Ed9p0LN5y
AHWKMvxSoEud2VWYrlU1Jr9HExAODbPGj9U8zzwN582iIBUJsYKdt1sIZfdFLAhgVZ8Q5x26kn0t
YBW7UvZgkRGPnV46yzDKTHkMgWSybV1Ea3WEfJ/ll0lnXEReuBEq0rWRbkQx6sjWSO1xpdqxs2ZZ
EeDkelXKznQTqh0qsn6dNPS8kKXR5KuTT7jW3HiVftyX2ucYBAwp7o0+Fld90tQLZvVh4ZpPo6pt
XJr8C1yg8KBQPMK5UGVyDB+c0rPihS7G48hj1zIIIiSsYGWW8k5wYl+oXXmRacMuKsh+iZr6Bs4x
8DAA6xynm20p6k/taB21WIbMNBl6enQYqfpnw0TMVis9DbrwSqmMm0ZtNjJWWgkCWSBUDDJjbS11
vdPL8hbpuhPp7uekJrmxBIAV9oXREOUUfRmhv2GtNbdd/7Rqg3M03wtYLJ+RCj2NAcl03LG+ty/7
QbtWCxz86hEsorhwie6LrCd7lG97FC6e2i+Vxr4P6VAFCbkUnq5fuPZjAq5h2gsh4YZ8miun+N6m
zUXYBtuSI3qjoXTWUDarszq0PiV9NY+oOrKRcFWUsW2Ocid8jMAA0g5+UHVj2lcdZOugFxjpPKGl
cRT1S+Ndml6yMqwS75RzToEoZmmxNSrTRToJ5YteDSZlxbHsxjMTSxWg23VgwGg3l7pIFjj24WhJ
pIVxpnT3tMPmiand1A3cxYHnOlJvMNZN+m4OXix7DR2pyL8uXMIZMc9wvOCuqyat9hMhQ/Mkt+96
TYuXZCfcIZBcB6W3jgIFl7sQxMz2oT5ltjNwTJ3pducgiEIkmeHsBAOZCGgb7bKXfA4wH1306iAe
pBIPRkuyHFQG1rLLxo1eple+V5jOGCpXdiR9yYbhmlDQvTh8dImranM0VRrq8kMouEQlxRa+xwak
pLZL77NmXFmjuUZbMYlxAEssyinP72EWgzGUMoY0spglYberDcphpTw0OhenIIKfR8O8S9r2yO78
R6yRruwUFn8RquswHHBtrihNSJ0m/npK+FUl1wlb+OmIRHIF3vgojrNceyKgcB4qK06hR0Lg/5yV
JxGJB5RPJ36hnw5Y71laoWKBqYH3C9LbRKdjkY10ykFMJM0rYdcLbLOG2b/7I0wwsA/MzHR7G6mT
TYDVXAVyclOOHmFKmY/hduVeaL5yxL0hP4L4UsAOdwCFAcM006aZySAgIOvG5T91aJ2oOL8a9Vf/
2pubeI/ZlOz+5h+L/RnxvHksh4vHCufW157W9Jt/9j9fvEb+VF9P/MHx8nfOkM9NwemPXw6OE7NF
5adUSFQZYrJm++rg+DUdhorqq4OjZmDVT7GtKrTkGO63gyMiU6LhKViM6SAs/kp3z+bY+rZq258b
QXsBfRUUo7zRGwuTUio6kSoC89/gqTGNU7PUV7lhX4VujkcvEr94MPF1xLoh8NTzfDS+4N24Qgjm
d9ATFMnboFmHL2isck6YCuei8HgMy6O6wwLexLPbbU/8Tv5c4LccTbDqqK/QSqJBmWc+Tfo4xy9u
bjTWEl3iIizS4zgs16RiHUaGdm6U+inyxVVXiHPhKqcYGqqGd4fn2HLI7QXNhEtLyi9HjI2nDVn4
gHYEBcf13RhfDh6h1wnxqD1MfdGdmLlFrlhyrOTiNBUIAzQxz+t0ayBqyMGx4kmDwnlhUN2rcQDa
t1xxhcRuXXYhigRBFIs/2V/p5Xp0O04EXnxee+Zaw1yW43U76SGuZKu8CQW3zJPFSnONQ1zFFnQG
74nHcYo8ORZhvPhx6a1MX9Kb0nv6Ek2CgYjNolH7vkM7UEVWPj71C5LMIVnT7cKXFEXUGZKFM7Nk
dfN9HEJGcyFxPGr5Zn58Afva/s0F7E+IBp1iA4IfXee3sygobIskxMBdgIGNOZwDqymXvUx10Q46
CU++eiZc9KmNO24xK//cpoF2DNtLOkwMLZiZs8dBq8vlCLdojmw/WJqKmyzcbDxGG7wmvDWaG9Q4
hzLoQTJykCI9MHHYCQmBwqylmlkdFZxmAyLjx0URpKPK0TZFT9w9AdLyAhnj/UCe36zrx3MOW6ux
CrAiVJVrltcNLjUnVthsUqI+jzKY75u/vvr9OYrg7/7WB5bJF7Ljd9dJFlzW35f1dpsFaX2VfbOY
/qlf+vFAf27h1WyV9ekNpre/pv2q/6Mh4h0WUs0DGn0VXgToF3MHRsX04lmJs9R7+W+L/5ahtolp
IeSNvro3v/fpf/zBvt2Lvh3nR1f+uN/W9uZXmm7x3Hzs09sH8HQVKApvPjWEYA2OpJBx4t2/nt/n
//6Hp6JK62kDx0U1/Rp53YNOf+ajvxvhqy8eYwNdtQCo4IruX29vgX3AtjltcS+3gHnxc33/Jm1E
Vfvw/FfhBbGZm4DB+9fb+W8qBzrcVizVXu7S/6uZ8LteGi/1EyjMn5kO74b5ajpYB1iz4c1mwA+e
Xu/ug3nALRB4ZCjPk+Wnuw/TdDDUj94GRZ+mvcrCCun+O0+FOJCx0rENlQjU6cW68XM9FQp1qcXK
RdX8sfmgHVCc0IqxKJ2nFyD2231BN4QCm/zlPlGL/2w3Qp1o5B+6CQpMQ0UWKqqL7z4UxoHC5snW
+XKPgEp/rpvAVJWfL+pd1fIXKgSULhb0QZsV8s0UMPUDGovCxBbn1xnyc316cuWtj04BVcM0yFJM
/at98KvnwLQOVAsGkEaI/f71000BtnD1o2WSYh9AtcVUdBIhTa93mwPPgWzZKCGe78HPtyqqtCo+
+hzQgdaxrYKM8N2CyRIHPCXwGeWXe/TTbQ1TO/7DN8E4gNCMXSx0t/3r3ZoAlZpJICPWeZ4KP91N
YMcyni/q76+IinIgs8/KdO7erojWAWo9WaVB9rNtBFwuii82qo/uiOYB5wHMgpV3H90+oIfJd6+/
rAH898+1GRBZKZ4v6u9/8aqBHzJoDQbLz6+36yDWczwZ06nqZ60HkIUpH5397IgWejcDId73lgDL
PLBNLCuoDv/yjvgnDti/YitzH4XqHnoJHquvYO4//IVXfOLbAV5whz24AKnjzS9OEPjz0M8IxPTv
f705Te2xka/+8xUr2b/Py5+/fMBv3/rNe71+qtcfroPHclfeIyLcgx8vlzl5m//n/4Gf5aMq3Za7
h8fKfwMRoGV5/fd3AfxfS+Mfjl9Vb6NzUdxMSpz9lfz9YUl/2ZWvw0w3/BnK+uiw61057NLd1wND
/Zpgog+PHCS7e38Xf/dOA+Fy8PzoWxztkqT55d92Sf4fv2x2lU8D7XXQ/ZTUqbRff/D37/xmV6Z0
gKK3N8nYH5Y++gk2zNP43cBiMuD86MDHu6jydw/d42P+Otj+lkxmna8/+Pu35GT34A/ff4aeTxAf
vfyzh4DLf73Q6cpfCtKPDrxtHpp7/7EshzeDEyGuvP7g79+WbZOGu7vXcfZX/Xyc/OhVX+zCHUZA
uzeI5kt1+tGxL4MoCt5kfUOwmuqxjw58tUuCGOX+Q/M61nRHXsrJjw7+qSY283tLy0vV8tHxrx+r
+pfZY+rt4jdX/1wOfHT0kx2LOQtW/Tad4uXk+dHRV4TJlrv66+v+Ffr98NjZm6fyVwzxo+OyK//K
mT4N7rM7vt3DKsb7oXr7ORSsHf6BRf2/yib9/e0Jwyhlz0L96Mc6CcasfFsOMPSkqv0HdlgCAfLf
zzf5YL3xfXb719/F/oPASH/92d9fNyd3j+mrfh1pv1PtLWdQFn94HfqxQPqDt+nk0aPG2Q1vnorn
DoP2DxSTzmPsB6+34LfbIv6B4ul3NQrPV7/nl3zw5vyhmdCHx/d3dR1U39gVvUD6/8Amtt9n8FJ/
Pztf3uEfqKWO2Ap+d/x/YApdPfJoee9r/N/QjY8ucX/Wa/6D3/X316O/o7b54YV877z5axP/21Po
a3P+e3/29og9/cZ9/Lgr//XfAAAA//8=</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IN"/>
              <a:t>Product Category Hierarchy</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00000000-68CE-4C0A-A957-5CF37904CE35}">
          <cx:tx>
            <cx:txData>
              <cx:f>_xlchart.v1.10</cx:f>
              <cx:v>Sum Of Total Sales</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size">
        <cx:f>_xlchart.v1.20</cx:f>
      </cx:numDim>
    </cx:data>
    <cx:data id="1">
      <cx:strDim type="cat">
        <cx:f>_xlchart.v1.19</cx:f>
      </cx:strDim>
      <cx:numDim type="size">
        <cx:f>_xlchart.v1.22</cx:f>
      </cx:numDim>
    </cx:data>
  </cx:chartData>
  <cx:chart>
    <cx:title pos="t" align="ctr" overlay="0">
      <cx:tx>
        <cx:txData>
          <cx:v>Sales Vs Profit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Vs Profit</a:t>
          </a:r>
        </a:p>
      </cx:txPr>
    </cx:title>
    <cx:plotArea>
      <cx:plotAreaRegion>
        <cx:series layoutId="treemap" uniqueId="{00000000-6CA1-46AA-B86A-879F4B8708D5}" formatIdx="0">
          <cx:tx>
            <cx:txData>
              <cx:f>_xlchart.v1.21</cx:f>
              <cx:v>Sales</cx:v>
            </cx:txData>
          </cx:tx>
          <cx:dataLabels pos="inEnd">
            <cx:visibility seriesName="0" categoryName="1" value="0"/>
          </cx:dataLabels>
          <cx:dataId val="0"/>
          <cx:layoutPr>
            <cx:parentLabelLayout val="overlapping"/>
          </cx:layoutPr>
        </cx:series>
        <cx:series layoutId="treemap" hidden="1" uniqueId="{00000001-6CA1-46AA-B86A-879F4B8708D5}" formatIdx="1">
          <cx:tx>
            <cx:txData>
              <cx:f>_xlchart.v1.23</cx:f>
              <cx:v>Profit</cx:v>
            </cx:txData>
          </cx:tx>
          <cx:dataLabels pos="inEnd">
            <cx:visibility seriesName="0" categoryName="1" value="0"/>
          </cx:dataLabels>
          <cx:dataId val="1"/>
          <cx:layoutPr>
            <cx:parentLabelLayout val="overlapping"/>
          </cx:layoutPr>
        </cx:series>
      </cx:plotAreaRegion>
    </cx:plotArea>
  </cx:chart>
  <cx:spPr>
    <a:solidFill>
      <a:schemeClr val="bg1"/>
    </a:solidFill>
    <a:ln w="28575">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Calibri" panose="020F0502020204030204"/>
            </a:rPr>
            <a:t>State-wise Sales</a:t>
          </a:r>
        </a:p>
      </cx:txPr>
    </cx:title>
    <cx:plotArea>
      <cx:plotAreaRegion>
        <cx:plotSurface>
          <cx:spPr>
            <a:solidFill>
              <a:schemeClr val="bg1"/>
            </a:solidFill>
            <a:ln w="0">
              <a:solidFill>
                <a:schemeClr val="tx1"/>
              </a:solidFill>
            </a:ln>
          </cx:spPr>
        </cx:plotSurface>
        <cx:series layoutId="regionMap" uniqueId="{00000000-0649-48B0-B354-EBDF6C3897A2}">
          <cx:tx>
            <cx:txData>
              <cx:f>_xlchart.v5.17</cx:f>
              <cx:v>Sales</cx:v>
            </cx:txData>
          </cx:tx>
          <cx:dataId val="0"/>
          <cx:layoutPr>
            <cx:geography cultureLanguage="en-US" cultureRegion="IN" attribution="Powered by Bing">
              <cx:geoCache provider="{E9337A44-BEBE-4D9F-B70C-5C5E7DAFC167}">
                <cx:binary>1H3Zcty4su2vOPx8qSZmYMfuE3FZVaIkz0O32/3CUNsyCc4ECE5ff7M89FFhS1ZvhO+D68VhVRFM
ZmJlJjIXwH9/WP71ob65No+Wpm7tvz4svz4uxrH/1y+/2A/FTXNtzxr9wXS2+zSefeiaX7pPn/SH
m18+mutZt/kvOEb0lw/FtRlvlsf/828YLb/pnnYfrkfdta/cjVlf31hXj/Y739351aPrj41u99qO
Rn8Y0a+PEw13efzoph31uL5d+5tfH5/85PGjX/yB/uOmj2qQa3Qf4VrMzrhQkiFG4s8f9PhR3bX5
168lfB0rzqnC3+75/LqB6x4U47MQ1x8/mhtr4SE+//v3ZScSw19fP370oXPteFRTDhr79fFl+1Ff
P36kbbf78sWuO4p7+fzz8/1yquD/+bf3B3hi7y+3bOCr56Gv/sME+5u60N/U8QNMIM84JUTFnN9l
AiHOEGJUgI3U5w//dusvlnhQmrst8fUyzxL7pz+VJS6uzXrdwjz5YXBQZ0hJpCg7gYHgZ4TGmMZU
fjGRZ4N/IMfdVvj7Qs8OFz8XItLuB9oAsTPCCSYKyy8TXp3agp7FDHPFMf7yNZjqi/m/4OEBWe62
w+eLPBuk//enwkLqymtzPX5Txg/wS/iMK8yRoPhOv4TOmBIxB+d0p1/6B/LcY4tvD+Lb4+qnsscV
xOmquG4//kCLkDPOOMJKki8qlyfIgGDNOEUE86/Aod9u/QUZ/0iiu21y61LPKlcXP5VVnlyb9nq8
rn6kv6JnAsUU03twws8QpFiQYH01Gjm1yj+S6G6r3LrUs8qTn8t3Pbv+WKzXj16a6483tvimnx/g
wsgZIxIJxr7GbXQCGCHPsJSKE/I1tfJM88/Futs+/vWekZ69/Kmg8+waPNq1LUbzI8GjzijDsSRM
3RlkADyxVATTr6mAF+z/oUz3mefWA/m2+bnc2ouP2hY/0Cw4PmOIxJSCXb58ToAj6RnFklESf7Wa
Z5aHxbnbIt+u84zx4ufKhl+6trz+68d5MRKfSVC3gkTsxAqCndHjypCo/00HbmfCD8txtxW+XedZ
4WXyU7mr19fltR0hAftxhsD8jEnKOKRgX5yVZw8CdlKwjldfw4mHin8k0d0muXWpZ5XXP1dW/Pa6
0fWj59cf3Y8zC0JnMeIojuVpPgzhncYixjET3272JRH+Z0LcbYnb13qmeAvFqZ+ojPX2pr5u8x9a
PkHiDBItzhTyLKHO4lgBONjXOA5f3/ZU/0iUe+zxv0/hmyP9qczx2zhC+fnHp8D8TGECq0bAx+fP
aQosIdBzThj+tqT0UuB/LNXd1vEu9yz028+VAL+7seOj5AYwU3+bvj9kiSLZMaRAAfjz5zSmSHGm
BI4FrOu/5GGeff6hTHdb5+Rizzbvfq5onxqotDx6240P2+YHdgbu9va3i9Env/hvezP47AhMQcWd
SbhQxzopRfLW4va2U/3aQrlfmrsnxdfLTgT//9yPud8if7eu9lC0OXzued1q13z/28+PB20479KT
XsHJU34D9eXHXx8jBED7u5N2HOIkYJ3o9u/f30DC+etjJSAtR4IwRiiHyg+H+vUMruPXx1xCdwHa
ODKG1a7EMQFf3HZmLH59TMRZLARETg7pI4FVF9TubOeOX/EzwWNKlBRYUMQVtOK+PdrLrl7zrv1b
D1///6h1zctOt6P99TGM03/51VHMCCN6nE9MQW7af7h+Dc1L+BH6PzZbsq7Sil8UaK/YCztBXvn3
8/8X4x7vd2tchfXEbb2Iw8iKuki2bV3fFZgvXxp5X/p4/8XwYJXbw5ciqtZ5acWhMIMxr2e+xfnb
fNm6T98XHxo4d6oFvO/t8VWzVdJVGT8ozOz2qkeNipOClAwlMY0bnFAyjNn59292nw3A/LdvZsH2
5Zy3/LBYIkkiY5KbpFu5/PP740N6e+fDxKfjCzXEfalWfnCop88QmmnzZo7LmD9d5dguaSQ2bpJm
HfrX37/hPQ8kYabffqBexv0kjjecaiWWq65wmdtR6wp9+P4NjgPdMWuPCf7tG0i9zfHoCDvMlRXz
FV9Jhnd9ZXHxlFVFiZ8hV7lqN9ihXUUS1xQN53FbTObi+/dHR9XdJcBR1bemdy8aWzG7soPL82nY
SSxTQdCnviLDXCVDPk9N4lYRPe3mHFUHh7tOtkmUS9xAqzUAYPI4c29JUOdrM9VsBhVIzHbEdJ8E
m/UDz3efAT2v0AFSZ7mO7LCuVvwRd2uXZJMrX4SJ7vmGWpaaW2LYoSJa38TArnjaRrpyu7DhPd/Q
RTPrh4KxQz2K6Xc0DzRZsk2EeR7peQZTz2Xf44Edxi7atkO8RJPZ877rRKD4njfAS47kWpfgDTrq
yt3K+UKTYQAo7b+vn3t8G/fA06hpZqXLRdrUdshei6YZ3O9k2FR8NUaFEq8gthB++f2b3TeTPN+D
yzVqO9tHadutgr+0UK8cf2/GMfoUNL7wXI2VsYvnhcl061BzWHMamWTRlTUPWOM44+8AuvCUpbqK
1g6vWdpFcmvOZ4P66VDPK9L7QRdUBd7G8yeEdpmc+0ik4+jweNHyro0PW4vq5dDrcV7CcC08pzF0
05CRpZFpj6vtbWXW4kUruHr7fVvcpyvPa8zVItEMOU6Ko0UfamsEeZrTtRveVUxWywOqumdGiePf
bzm+QuZ9JUUvU1PT9TJqtviFypGpYeES4FcFOR2+y/Qag3J46sSAlyQuF/qeb11/CBvecx9uEp2Q
QPlJpxosMNZ5c6AuEn2g9J7zcJq0a72WMqV2qsAGq1yixMar3gJv4OG5UhEb1ALaV6gZ2ssesXY+
mFJs88sgBR2z5NvmFXglFkULT5Ut9O9CWvty0fmwhsnPPaCJ1RwX3EykPaGjvhg3sqikqJo5DoMY
9yC26HXgIzYirWze00vb4EkmpaPmodh89Dx3eCTuoWzNyzxuZjDxkK292Zc5EeJlE20Tv8rHrKkO
S47X9o+6keRP1+Zz+4Anvy/n4R7w6iXPRLfN4AprWfdXRWQzAZl9pSCtk+Nc0jFpx3KbdrrgfXNe
LVsu9pzOpHszxSN3gQr2ALpmPBKyirK0EZHbEz2LVIqaPDA/0BEpd6kXn84/No2LHvCgUhJvpjts
KJvGA8u2rb7oFRHri9w23ac+onNzQTfZsucLIbh9hoWU5R+ywow9IMo9jo57WJZtyfpu1jTtRWbJ
jm/qpl+WeQjzo9xDcm0IR+tSitRE/ZzmI6J1khOZfwzCMfNw7JDhsixzmub9It8ziG7PbRw1YW6U
HcFxKwgMJG/LKBIqZTWsZHYOyWZLnDarfWCW3YOyY6vg9g2sHlaGFyPTcZ0zfCmpMfFfS48AcQUu
4i5pteubBG+8zz/0zWZxmFmY5z/I3NYwiQxPucwal/QDtk2yOhoFenDm+Y+NbtXguBEHNzB04OuU
7zfeRfsws3tOgmcqbsth2VLr8jHdWlEm3PTlAz7oHkgwD/vQ7CmiBVLVtMS62eERlfts7XDgpPKg
D6ueTiLdbSmGdWMSF+hdm9OHEsn7RPfQjHjf0qXOtzQX6/jMrW0M4XkoUBk4bzw4F6Ube2LWLY2y
Rl3iaan2GZE0DTIr9dBM+on1YwWjjxmmu5kIm9gG6TDZqYdm2eJNTgLMGo242FXETQmvBA3zo9SD
chlHJp4zu6UD0vW5VW2+mxjdzr+vmSNs7ogX1MNrm7Fi21A0p3PEbmDZWU3ndKz6Nh1nwQOfwIMs
mcTUllU2pwSA+1qNXXlAtKvCluPUg+zYQio0b3xOO+hxX0rF3L5c20B3Qz3IorGpM7mVLs1tTZ/o
uhHP+qUOFN1DLATqrKoQGdOhKzO0MwzbnSiWqth/37j3gJZ6oGVZbqtogzJP3+rlqhrz8anLsjoQ
VB5koT4aTciV47lx+WzfkDmW9QtmJC/C5g3xUFshPQ35hBdICd22q3r2flVr+8DEv0c3xAMtK6OK
SplNh6EuUEKsw8mglAsU3QMt6UuKs1JOoPnovcGQ37VqycLMSjzMVv1mosjyr6JTPOCETTxUdB+t
TGZOFmg6qBmKxvg4ug1XzNEctzKfKp76rLYw+lKqYudk5RLOcRmodg+tBWWyA+YEjE7xzaBpfZ7r
PLCyRTy0VrDHSuocBleba9JaKAMrL76E5QbHJsptxSwjEVm9VtOBjdmcLGjCCeqzMSxEEQ+rTdHj
tiOxO7TT1iZzoW9cuaEwrWMPp3YzY98Vszs0VUETTtn7aLI4cHAPp3HGDFmLaDyIIW73dtHX1m02
cHAPpoNVSwmZsDuUXBUJL3WdOINF4OgeTgUpo1xHCkRXDj2z0B55mYm8DmtRYQ+ni6O4pTByuiHY
4ZdsreRsH42RtGFzBntQxcOiGtfnU7rSpjVJRHqW9jMePwQFJ+xhFekMm25pILJmtr5SpUV7W5Xr
IWx0fAonZ7Ke5Ctz6ajIn6jErywlr8KG9pFq17JZ12hMdRE9B/f4fsUisHyHPZwqrRuBWjGm5VzI
vSvY267KujCDIg+nbWUjo6RzaaRHvatL8VTgIQ6b7Eeq1G3/BW3hubeLjA5tvXzUK3qHWfMkSOHI
Q6nUcx5BvF5TGNaOyYZtwZPVkjzM9SIPp1POXFFRM6bAVYn/oCP4gcTqDYVlGsgDqhtqHNdZ59Km
M9u+W8Rfhe6zQLV7IM2kHsSkjUvZatZd0/QgevVQ5/U4yB2LgyN54LZNVcup7qNmTKHbr55Jm6Nn
dZT178LM6kEUj3g0sD8YpmORFQlp5j+E1IEm9TC60U6VWVG51LCJJEgu7+tBvgyT28MonekyawJj
R6V9S936jFH7LGjo2ENoN2dZPpJ8PMRZFO2iMnuqtziwPhB7CEWo78UW4egAe6NfNKt4L81ah7mW
2INoVECebjrQSV20r7q8O8+aIsyTxx46aT+vZIGa+qHbpgsz4yeUhUXQ2ANmv7KRdz2s7XiTP5Xd
krYmC2uzxh4sdT0uhXMgdN/8tk1uV4rfw2aIB8lalabfKjAiLaq/zKJeyY2H+anYw6MbpmpZZz6m
qy3R220dcVo6YvdhgnuIJG22tKVWY2ojoBLgtrpQmfojbGwPkVWtLYPNbNGBachuo5hfU0XCAhsw
fU+dIEzsYahjCMmF5kvCLI32SokpCDhUeaCUdhIjZVN0GPgb0+0lVLFDdEKVh8giLwY6FOuYOglk
jpnYPkEDfxs2uIfJGfrv69pm9oCK/mKuobc/kHIMminArj5VuHEurqIaBpc1e0lc/0HT1QRqxcMl
7JBf40EqezANeclg7MVNoWN70ESzFoQsCMrGmMRPnczLq4EuPFArHjoLS6ca8lmYKGzjyRaXv9W8
CEqwqPKwuShH50oB8heyjuUuphnv9hgyIB3kWqjyANrPDc2gVzOmOe2vo3l6B82H34Kmok/WmgiJ
DSegF+dyth9cpRMisQjKI6Ag5M3FYhJQj15A8GV56br4apmGQIRKD6FlI2IqCmJTWZFnNRAOD1II
HKZxn1/lcgOcSzeNadzXr2hU70pTBCUpVPr4ZFG75qSxKcYM7+YGmR2i5acwc3oAXaGjYGUzWiAY
8Pe5Xa60YG/ChvbwuZgxqySOTLqiek7qTgznbVOGMSOoT6zq2NyqCeg7KbSQtn27dc8FsWFtfyo9
gLoe26pAs0k7oL/UiXUmehJN8fo6TDMePOeIgFekDiw6rR8tZHCLlX8FDe0TnEYIPEXPO5tWPH+9
9P1l3DRh89DnNk2ZrHhZU5Nu01AcpjnH+6huP4TJ7YFTbzSzZqlsqop+V9H1eSMfSjuPOPnPVRX1
WUxzBPXgqRcmLZqJucQIXj4beL8kc4nduguT3wMpq9qlrTpm0lqTP+uCvov66m3Y0B5EF2A81lxk
BvA/2YvJGpSgiYa16mAb6KnHzXHBtCEYBKfoXTNFbUKj/vcwyf0Yugx9ZeLCpgxrOh824laatLIu
qrAgLTyc0iLPpZM1TMkleqUb/FYPYWtxKjyM1poNsGCGobNVvRpj/SIjPKgNRX3OUi3XrBmm1aQk
a3AaSTy+Qvmsg5i+1OdrYjHFbNIwE7N4W5PVDCmhgYQx6vOhmiWLxsUWJm2nPk7iSZwPcx5WHYZd
D6dTcTTUOapA5eAen0wrflKzJQxDPgtKzXntyiE3qcjyNhHb+kQZHdY3oz7TScEsiRdcmRR100uC
hqcmHgPl9tBpNHQn+BwNqeXynUbmVV0NQYs4yj1wZgttqrwvTcpBM4kCEnoyrI0M84c+G2kk5RCV
nRqgb1MMO4OrVy5SYSmoT0WKY1hntSwe0lyTpkxmKFQcXBzxMMX4VKSyVMBKK1fAjVqbnXScv651
vIVZ1KciTSXjGXDthnRTBu+Qpc8hkoZ1z6lPQ3JRKzu2dDBdOkXjCnztWtkikWqqgmo40OE/xSjQ
c2OVLy3oPi9msWuheJZmGR3C+gjUpxutlXPSNFmfyshWw26a++aTU2IOXDQyeio/anBMZxX1qSlW
u29yXiagIXYeFPB8wpEQyyLjKe5TV3O8iznwygmsfpOw0T3EjjUw8Cxp+9RSkY8J2nB1Xa1LmweO
70XTRRtu5gV00xVll+ix+W2pUVjMY344xd3cRMKB3lvZX6w2tudz3RUXQZrx+UYTmcja13Oflhnb
3sVdll/AUYh9FaYYn3BEwE8yvIJZVZsN9lw4SWjCso4PgTfwsl9oxlVd20+geWLnS2Pkb8VQh9Xm
qU85ElWDgWNs+lTQ8Y3O7au5Gt+E6d3LevNsnUld50MqWvVn280oKeAwmECleFAdoGQuI9f0KTGl
/FNAU+HCVc0UOGW8yDrG0bJuhHUpIFUlHKgvSbRG4hCmGHzqZswaQY++htHZtLqEof6qah9iMX1O
Qe9Y0Pg0o0EvQK+TuEsnXuVZAt3iEpyN0Eu1yxuVVxdNv85vXGPrS2JJxNOxKAb2Fra4ieEl1P+s
eaNEwy8q6Et2F2XVUp6IWkMxPl8GGc/JRsvB/DYPOHK7eB3a6rorimjYcUgs8R4xqLUfRO8Wt68R
VMl2HLrUy6UbIlmmWCwFvcy6cl53KIZqwh8RMHvXc0RKK/ZELDDmXOtxO88HVVjYbYc3d95gvGx7
OzWk/XMRlGYvR8qj8i+L2DCkcsNqSs0Cz7vvx40dynhictcKjKodX0XuLnLU5eoply3sC4uHDb+B
k3DmZMLcXPbami2NOyXX87mpJ7qfDM3ZYRIzhRJ2XUx0l9d900E+q9S6k0YTkTSdNujJ3GaluqwJ
Gmm6gbbnHSPVdLltUfPctFNM9zSepi0pM5Ntb2pUdiIsC6Gew2wW6njlSJdyVnRQ9YkSnBMVBi2f
6UVotkIiWfdpwZubjFZvMqHD5PZ5XhN0YpYag9zMZalV9VXGUFhxkHhekk3ATEFQQUrhSM8lySJV
JapGXaBOvMzGxDnhFTTt0hyXZbJUwydemrCkj3h+soTtrVMr4i51q+ufwwYtfdGRsQlzZcRzlAXX
sWsxt2luKvqUQv4KzH83vg9yZcRzlKbJp2nqpy6tZO5+N3LYoJjfyjFQ7Z6nHFo9wjYR1aUKisoJ
w+XTYsvDNn9Rn+QVA4QZlX2Xrl2fNfsunst0GWIduMrxaV6o1WiLCMxInjdsOWDbui0REauGfZDy
farX2AxzFhVjl0Kj6tPc0ysW2bAdHXA02GmM6t1spmEVXVrECnhkoxVLvSOqxJ/CZPfgOrFhI5PD
fVoPapOJ6AYCPXaJcRgXg2IPsXPf1iheckgQ4Fz1xIm5PGitAxMEn+/VizkrtxxCOPRozA4YZXzX
R3OchinHw+wcw1ZpptsONrrW9RUnExsTPhgexu+nPtvLlm0ORKYO3HDrxFXRkvhPWNOuYaVg7IFW
LM2wNRbyVShlLZcZzVwq4lEETnpvHYJJ7ZQ+RqdSN/nOzkOeuLFpwhyOT/lCBi1ugXVyGq0tuSmA
bX6zNa4JY37CeTunqGKYtGVRVn3KuJiiy0q1aBdn88we6B3es68ODm45vQFsN80yXss23WpEzNu+
0lO3y0SL+/1su+gtbDh7HkWqLveQxVVqlytYjJ4XEWNdmPV9fhjs0+WxKyH/nNehkLuoKeEAiqZo
+zpsGe0TxHhMNlizHD1TNqLsSaNz2He2DusYh1WnfIrYFjsDO15xm8KZrrpKlrmcaVJWdApMsJAH
b263xrQYbrA6DLTlzb0D9v6HINfhs8TqsVlH5bY27U1rd0tOPm0jCxXcQ3Y+bMjaSjQp5LbnNa6u
MLZhJYDPWyhvUdGbKIrzGU4QSUc62V0VUWg1zNvrMKV46fJY1CZH89SmmTPy4AqcJw3TgaHS54nN
At420YJFU22W6K+mnMkHE0G4CZLdJ4rZkrYdbVGTQq71XEzbk3rIHzjL5Tjf7lgq+jyxfIE+Izdd
m9oFF1eoNjKBN2fMYUHMp4rNFddyqkiTkkp2eVJKOVwVwrVFGEx9whhVS0d4GzepYG25G5S8qCha
w+KATxkzfZvnmdJtqmgxP7WmoTsxltOr79v0mNnfpXgva1ZztU4zgvheb3SAlD+2uTrUMeq6A4dV
XRuUYxGfuwOnf2RZP5o63Yz4CxbqzxpRvPv+E9w9dcjxKKnbZFQ6xdAahO1YsEOwy8pksG66mckQ
dvQAHD57OryGXLktsrZOVS8zqO5Yedlw5oIgBS+BOB29w6VbNgPCZ3kBa3yE+wSOlAhzB8Tn7yi+
iZVZKHageUTrvtXQ/N2VbVtOYStdnxooV55JTvIujR0Z+wTsUB49Zqy6fYhxaeylWE2k7TApDS6H
4TdujF/nKAtSPY09TwxnhowyNiA7FE3ZXhvo0GwOtUGohROLTw3bgo+JKiB7HpAw2etpjfo3bcHC
NqnBYWmno9e6RS7Gtj6GVvmqbwhLR81kkNKJTxHsoWgUZ81xyhdQbOoG+SqiuQ5UjLcYcuvYrm7V
NRA/4GSuHewpHd5vteqmwPE9s8ppznrIbOsUFXzdyzyOX3awn+91yHyEnsip4leuocI1D9E+R/nS
XZUxip9j3DP3AKA+V1r+0x8Tn1gGr07CC+cOvBl3rHkxINS6C11NgzmHhZjD53CWHrf7gdVL9zRa
YVXwtBfl0LzHiNBzx/F2KWi0skRtmYPTFdaoql40LVvwrhmGVe+2vMi2v7ps1e687SHm7hwrlw+k
ofTJ1Jfj1aqL6ZxkboYh4AyMIokbTbe3BYL9La+q4zkVb1ste7uHBRvd4Fsz74oYmJ/Py76Itj38
2upnBGfdFJRIEp8QB7zGAR83JB/yDJXPJ1Wpp1jjPCzAEp8S10UV66A6WqV4iW84Hl4plL8Mmy7H
qHsrlYS15tpEfK5SsgHPtsb0Enf2oYM0joi5a6p4gc+5qMk3u1Tp0MNZHZfGbvW8VyuwHvYzrBDy
S3irUF28D3sSLwyiQcHLWCZWpVEf8QOt5vp86+v8t7DR8ameijVzsEYkVTp1tNhH2fZuLPFDejoq
+y49eTEExbl2lXFVymun3wCrmr6QRb5cLyWKHqhs3ncLz+nEmRI57ofqYBdS8X0xDmbQyWSg2H6p
Z9jR9sCi+h6T+6w5oCfkbuJ1foA32lXVuWMLAnZYVB90s0m8A0Z3WFWJ+CS6vIDaSWZqUFqLIyC6
8XfgiAJzKuFV3CI4cAQKAW2VImjHjWQ+Hwl6wEHfYwmfRCcIcDk32IO7r/JBjJeqtuy8kwr6/jyf
6jiIXUDE8e63cM1gbK61iOCYDjhIEPa653+oQYRtbSX+UWB2VYPWqylTIdh4DpxrmWQFClusEJ9I
N2koRRKHilRTSc/7aW32UumgdRwRHpBj3qO6FnW2R5O+ijOS0I4H6tyD8Uri2nYjDL1t9JCp4bzR
OGh9SHwO3QoHoWmrqmxfafxEsOjJwMOqeMTn0AGt8HgQrs72fTkPV6W1Yxox8ibIbfoUuoyJYlpJ
BJMd5fbQ94Ymq6rpedjoHkpjVZmMxZFOhbb9E2C9vhvyNexwWOJz6HIu8mjCTqf1iutzp8b2Ih7q
MCoq8Wl00bpAP6UxOtVlOez7Qj6NhLGHML14cXcp48FZ0qn92FC9nGM8/9abqgorKsKZ16e+pejU
ONS0Vft2Gp5XdZeWpgsL4j6Vbi2WJW9ySKTq0emkdW2822r2gOc9Pv4dYdZn0k3Azt9ghx+AyE5d
AqyxXc/hROEwnXsBdoNDeuw09hp2LTXrrs37bkgy06owQhocSH2qdNWssOeiYgo2WnUbTmSdmSfd
UumwfZDEZ9M53matGIjaN/MGPdtXwAJ4QDOfS7V36N3n0lG+ITicKi9StEZkehLrhsEGoxzO8nwL
JyV1qWZqI4kYpoYdOFTX5t0wVmyCEzJ7vp4PTsXDYetRjq8bwfCUZpJoEVSBJ8f3jN6Ok7UayUYk
swctFnPOshHOFI6qsL4a8U/4ITMmW12N9kDmpgCWxfgWtlQuD+j1nunsEwiXaEBwZMh4XOmZMb/U
JJbuUNjKtvugKe0zCFutRy5RIfaLKTj41rV07a6AV1uQsGWTTyE0Y+W2KevdwXVFf2gknfe9okFF
cuIzCCHbZKQnjTug45FlMxtgkzkVQdRweCvA6bTpxURtNsLgk4Njp2tLh6SrcRg9kTAvkaCFg438
rnUHXKJ+RypUJlDf+yvMqp6j6ioJr4wh2XiYcNEkMopg79lC47CQ7PMHc6DJxjQi46EDUlDSVSZ/
Xgsy/h4ku08fpHPfE8SH8RApaNjQassPemVhivGPK9NmRh30kMcDHK+JX7bNUv3F402EZXA+d3Bj
xTyMbrKHtuX1Dg7dhsNsaBZ2YAvxD/ty8wBHZonVHlaBtqSKK7MTVWCucnzr2W0fySrHIzKA6FsD
x7XM4/opNkXYXkJ4fcbp4NHWN0NWE3fIYffMXs1FsQOnFta8h3dGn46+wTaITE+QWIke/2Ub8qYp
cNj2anib6OnYRQO1x66n7qBjEydLj7NDlgGN7vtT/Z5los/+qlE14Koj8pxnNZteFq7RzfnKcW3O
qekhCn7/NvcEEZ8Jlk0ko6iEh4AXn0T7CbN81y4ujAlG/PO++iIT48hh9Dxv9V4CDWynuvVjmOhe
6K5KwBTwGc2hX/p1p5uh3NsmC4sePhNM9TQeG8bMYarcdN4UEidwgPEWFj58JtjawHJjM/+Ps29b
khTHsv2VtnoeegCBLmPT/QC4h3vcMzIy8vKC5SUKEAiEJBDi68/ymj5npuJ0dY2lVZmVZUUG4QFI
2nvtdfHm4Np9OCa2/7AnMv/JR/pmue6tyvYJWM9B85aVathkCUrqz9H+MdX//Vs/ssAc47U+RCoy
pdz1WBAdfs65CQro31+9zrLBJJLqQ+fmttxzNZQczvU/V9C85YAtSQDkbBp+lHLcn/dYby8yHv/M
Sv4PltJbFlhNvE8WkJUPuUmgR7mc2jpN/gwj/KOrv+l1kXADuDoIccwiQOdr9H0axuefWkhv2V99
kiY18jPYET5f9VCsO9iJrt3sp5+7/Jt1mgwTmfbYiGOu1QgCrtxoe0uTYeQ/t1bf2n1pyxeUwloc
hU0KKdLrIf7JcuYt+QtGXLMLKS6tMhx/Fz7E+HOERPKW+YV8hq5u2SyO+8X6qPdJVmYt98XP3fQ3
y1TGQ+v2MGUVXLhOo9GPMf05N0HylvYV5yAVEaWyioL+IMfoNhu7dz/1qf8/yhdshFpDxqxK6aKS
q0wP0F23Xi0ffu76b6aSo05mOSwTO2ZTssFCPbPZ9UWq92d+gpfF+E863bd8ri7qdcZ9TY9KR/bk
6nVV95bFTXOATpXV50btvr1ze/2/aK5/6/f+2Q+9QPH/A+plIa3HVc4Der/Nj1uZDN2Q6kPfY9UN
x7be+qGYJ4W4mmIkM872TQYzsvM0aNqqIxpr2ati2Ps1nNs6RPVXQjxod2MMSmtfEBl27wsUOXq+
7WnC9d1qa5/Q8xZlbO4Lsw9N1BUxER1pCuOYRiE0UTy6Ihfz1HzVplVLUmQ969SZ7D3snquAhp41
VZhXb8o+ELm9h4WcX7si7xHxA5vv0G12LBKxRDQrRIA1fH9KdE9hfa+AWTpVQFcwLPiAlk3jB50q
dAOSSf6r0gr/2yxztlYUdF9SLLhDfbmuPu2u9rBs1KBGJnb8OgG0ZUuxmSROfJFz2rSfxy7rxXfV
LAj6gZBzn4wq4PYlw6cLSe+kdxW2YoRplC2972zSVwzCyfqwY2STHqK03mxZc7xpolypD7mq0nXP
45uEr1Qcu3zZFXRh8xROSAkYS0b1Su9kvHS8ijviSdkyOqMK44pXXMEAt9jmhs4j+JtyapvKCTTN
rARCsjUTPtk8GlbwlDLoRtbuqs4YykbsJVQt13haU9sVhqOyK0QSDapa1Jh+mZ2ilQ/7xr4v3R7I
UZsp7+93k3L60s4pY/fE1YTc7nXLl6YadmhUsqPwSwJHhJ2yZbiDQoPjeemu0/hwTbyLZjnGcDVG
Nabiae9PgZLNf5u56qamnFaAwWcGBZJ4Tja22VAOY4YksYZHFxvIYRlGH0HFsoO0BQcdtqzLIeBZ
TtM5zQGkpWfaj7wtetqLI+3bsZzo5pUBJBEiu14qy9XexIvtD95gj7qnU7PI521Lm5HjdZjS5ShJ
brdyatoshUtsG4YKfU3LP3NHxulGbDtAoDaPl80UXjuA+YXgOUtRQTlHCClFToh8l/Tc0CMMVvrt
Zkx9AlQ7dvBW2zFmdmsD7VYcLHVgclKYrMXD8i0dImhmzMoy/Z7lKuFVW9tcfkPvwwcsGpVNa2Vl
Ptn7fokb+gx61qyOMjDIhMQUT/n1nkdpf5u0vt9/dOMwLVDMmGjK7mcs2vYw6jakZ60SOX9sI8Xj
FNtb39C8YCoT+j52rk++ZbKueSjqRqjmyvt1za9j02XTJ+lpyEt43sdQozeeJALWzjkdvtfON31T
9HPPv+WEzvoj1OV7W2K6hLMLOo8p3IHVZzm+eYqy75M0635WqQ7hud/jJCl1i5X0XWZ4zU9Nn+73
TsTNMU5nLh+4WRg9xLzT7dPct9v+6CHwSCNMouEbwKuLEzE9W+/G8dcek5v2RtKZhKtpkkN9Naci
MTfLjMTOUmYkSz9ziuT6H4nv63tIyKNrjJH275C2qEL6vKkaGARF1dbt3F8jQ2LdTzAPIp8G0WWi
0gOUju9YaIfxPmnqLjn7qVvCIZpbuZ1EMDG9YnTr448xrfv6qZ1Fo0sdXARPRBkLCxGNogjyW3eb
mzsb7y4+E0318AHBHfX0sOSCtce47SdWuU2u2Dt9zk17BH86MXezWOn3AZ4AY1kDd/MP7RYbbCXt
tPkDzSdnmirGtGq96SUMjo91s2jIayK2Ns8ttyI7K601LVwdGfqtbYXUZTPa3smCj0kdI3soI9vZ
Dsq6yvk0jipnxzQpxmH3+jNxAp+gyuMmgZ3hhk/RRY01hdwiOx7GiyVPAUO7vb+fPYRph1wb/yWN
g6eIV2sQFVkiCoLeoVxqXmssYVbKoU1VSZXPp49hRj4jDI6UguVZQfp9787eQSX7HJBPZ+qinR3b
sN/v2k9TIR2OaV8A8V7td7+sJH9BBIfBgdDDrUY8DbjK5UFqt5gDQhwx6TyMPlV5Ae3nmF8NiATv
D+vakCEUTeL4fuM32wC12JAsJU5xHVAjQsnWtmeLlLWo2E3XRe9p3pu0ajO6RJWN10RULOy7fDHx
TuRpdbsXV4uaorqafVqHW4Lwrsc4sbJ7DxQ5DX3RDYMTR7jGN+5a9Ohg7gNwJX7M+g7nnavrfAbP
O2u3W9XEsi+n3SSuzLRhEXQLxtadh3put8mTi3sFMcaYOffYbTFLTxNGxvJ+gtNdNxdryBCgA1/x
YvZGJGcE2lr3kNs5Gr+m3caHWzoQi3dsbNXQ/iAD3/EmKFi22cPU8G494jfb5CFXfWY/0H5t62vb
dJKcIaKlw91iUmRuHbAdDbRCVBKpX3dYJcPT3LYyP9mpaxpwm6HAwjvC4aN03UoX9ElLRcAZTsEh
jg9WI/WwWF0Y0/f4mfxlTVq3fRlgGg9NukjbKStn2C82ZYT9qS63Wm/vZUodOXGhoXXJxxFkVbUa
HpVBLw6RcmbyGwQkK0tKDBR4+4iPm+cPmw9Nd4rGNMPkqKv7aHlWap/Ga1B32x1V0bhv33Fq2LGH
R2ocJ+8ukxoSl6Sd2X63xyJTFjvxHuozl3j0MJqlCBy79diQ5wekX1hzjl0r3GlzVOSXk3tr4QnQ
4DZaWziBVR7Dr67Zl6acOx/COyK2QRQIMuP0yDKF/a3oiZfmIXYJn7/uxupMFoNbt/wcMhJv9xne
/vaTtBsiaPBLkql+6AGH+Sfe4yZe76k0WzWSJXcnnP+RbnBzU7Ue/M6Yb1A8uWnHwzTNelx9H6kP
LAlOPa64Z+v1LMEffJBr13ZlJtvJfto0S/PPKmWBqwIOYfGocafI0PwY4ZkaP8K1PhNfJziv9F/m
Ye5T9FcwRCSlkqlkJ8WcDajf2pjTqZijJeAoHDYcH6j2YBlLo3xllYVJwxRAG2XRN7jKh6yMcajL
877M/TNb8H4f+tgPtOy2HfMXxcbsY56CF1GSwGtZohfNGBIRJ7ZcpQPL6VqQLVbzvW7nFpLjBPad
Ry3kMN0RpX00FBQKrK9ymt12zJMuWx+SMTbw38WcVTxnfPTtcR2QlPM4py35xC1SXiqb1YACeBc5
eh9GXbNjbKRPHzB/IuPT0DO73yRynCdsmBnWBmjxIKrxqx4mquauVoPQW8mzrHkMYL5E5UY7tT7Z
3c8QREP3mvoSNoZ1XzKRdPqht8CYilY1w3wgAbra4QiJWnLgNRnHysR1iifRtUNyly36kuRK7aX4
4WD7tk0p+JqnlVrmOFmKft/CR8kHuCYVu4Jq8VlD3EZeGkunWzMuqLjKtpFRmUi4woUSu/taME+J
+5gusD04NdRrnPdsi1GmEwh4tSsCySJ37vAR4nfLNDpWpjmdqz60y3jVb1jqn/PY+PWYsn5IkExi
YHmWZB3hFRnAIy0sSfajwGHkXWHyWtr7BdQpMZaKKjbc9rYODzxcAlB3s5Mby3kfHzgSbDYcoyg5
KrNn2Pb9sEbNuadj7p6XoU7Wp9EsSYlBw5x+CUPt17L2bXZCuYbUzB4qmglTt8Jssj21TsNYI4Ou
GoctKffdCV1MCEOilTNxempQD3z0ipGbBlZKqqBCzrZsk5Q28GzVaTFNmaTX3DfhRwb1j7xLsXTU
1S7tLu7mKDWPsYfFK1og4m4bytMdtVOSmcc10mCSu42VFDLyOwxFINZGeCmBGzlkyHfB8PTD5KPm
0KeS9oVSm7tZ+0E8NB4O+lWP17jMt8WXaVt3pyzLxO1Cm3DdJNvwJTSrfC/IYMoupu+G3KgPuRSj
KJpYW9BOlqHv52KLO+Ft0aDaDceA9LhwomvavNBk09dOBi4qvM60VPuyb8fRyPw6gL6YffARZ++b
wYO1UKVuZNGpVmz1Q1HjzeWQyYc2/tG5OrgPlyT1UKyd2jionMnqQ9Vd/ADOQ9h22KZwkwSNZN15
tin6mI5MsmromkTXa5JBjQ1ZqY+vTZvU4t5Gm3XHFTr/+GWnQ0pLEbLV3SyZzpsvqFzVfMhdGqUn
3ekuu5XbOiDstRnXofCJNvyFLIOOH2ayEH2ATUMYYUlgaXueolUMn6MWWcKyzEOXd1VsZeuKJe9Q
igq3sK40A2oUX9QkImQoQh6W7vvGczLfrtu07t8QSuVRDrUO8fEjRn50ynUhIRiSB7jo1OmV4UMn
320Jev/DNGZEHR3DvlOho2nYeb7Q7w4zUyl5gKhG5jfgz5KkSsSWi3MC2dT2awd9gHpYrOM6LoNo
1vbazpbEtIChCMeMcZfpEN6hNWYpumBQNvcbaweLfaEdmU/utMKSfN+jWfWf+7wX52zCnIlY5dnn
xJI++qIwpUSbvE05QhABQrcl3g4US0W9rNjdrVm2alWN4R8pNP3uhXvs7Z+snUUqq5zNEc6resyj
9T31u9yaIkpTRgrnaqNKUZMhvbc738KvGeT+ww/TQc124BJJgk9haDcBw4F8Mo/IeM777TCucHe9
El2UTo8Uqww7YkzMzLE9tRsDWNiOkDWfJIlbfyJ928eqynaDEqAYKKUNbOAn9B+o+ORchlVfahHE
uDj/TjpjGn8l+qY3L4ONpvU4yciJs7ViyfHEduFNNafDtn7pRQ4tEm17Yb8438/rUTexikrRL8lN
Nzc1LWdMk91tkDJr8EhYBzGgBcpeGr3OKEpnCjuZl2WHSy4E0nN9OzXpfOXrjT/NJA0O1UG+7/oh
DMNQGMR1FhCFNQtBvhiX0zF4noeyQcLpct6JRYPWioUV1vkp0oVbnLfvWOJZ++uKaBN+2Ps4bivq
L+dq0VhkTJxqlNm3Hay58NaRRJHrWiIy9UY3YfooOG5CRZzLkqGIO/AGXuywywhVaoijq23He32F
OiBh1w5HgPzqPemu0AIk4vMEi3PWlrlo4u5Jr3nbwhI6UbRbCrxkOSk5dtWAbi6CcG5nbdLdc+nj
vTRY8B/6JFeHoe7oiKVWL9dTDATjDngFyR/5uNH+2q9GfAMS8wmlh0spIlUoKOATMmLSpzFt6i/w
s5Bd1Shsip00/Z1zMSqzHQYj/jww3pZ6DwgcAf8/PnXMkOFudsQOd6Ze7M2i9SS/IiDavUZzb221
LREeY7axl37JLsOdnuNs3zL/QlFLuKrZZ9Tq4DW5rRg8U0eIlQUtpPYNagOMKleE3fENeC12Qgt8
x8l7DzkCEhj5BemB8Nu89CjGijQHA/0MKF3YWzLzOXokDCQ+kILY2KznlTaNG/BQlhBbKLpr2R22
mHDJDpLT7l0zIxv+kEDmMP+6rWm/llEL5OoLvBoQUGtybrPD2KYhxavZpe9Nh37kKozSFqnEBqqL
dTFIsWvSpf3Oc2XTF+KXdi2Dsgm6HZYN61bIlQ/R565L6m/8Upqc+AaV+YdA9avrB5eh3BVzgmJW
Zf1yEsgE4aWgRr1OOZZswRHZUSIWJM4Og8j4b+BfT3bchMAP8LesM7QyCFU/binz7JNuIgH9cSdq
IIORUHBGshoWBRWKEuWvczpN34dhIwn2uayV4wuc2oQsU9N6cpIuCz/QOjf7jRnS+lW1wy5y5H+H
Nb1Vrc/mD1Ed0/w1QWRG/gOtZQtkRDb5rZhMj70jbkOZNsnsH42omYbUCLOlrKFN/NhFlALNRukR
3+QehqJHsRqaVpvbY3JY6WrXYlDL9h6eyEn2URuxvouizH7kNUs+gEDh9quphlrkFE1ojLdBbeuB
ZhyGvrtc9Ufc8/5mTHrQ2qhEADc8TrLpPLVCzGWuR+ULHdX9Jyh1t2LOofLROvP0xmw6emTUb3dU
7C0/TjWsFw5DHrarGbESV4ke4nOGmGTseSOxL61o8vCgmwnq4XWF30+Rz0vt3vsFFq9fYCCC5swG
n7WfAA0TVtA14D6kXkpsC4IkZELFwaA/5rH70G4URSIBlNA0qDJkHsEelu1RZUCDzw85b4CbeMSr
I6eEmb27SnWsX2C/LvunlE8QgW9IYHjq8EEK0q2JXkps28H5wgAbIw+6b1lWEo2P82Gaaj8d5VzL
tkwzpv23C9f1PI2DUjcbY/uAn9FH9qlPMj88kIZ5FGyhI0fOdTSdQKFk/h2g6PGAbWIcjybPpa3S
dh0S0OUQDHuYfIxNBP4Y13gWgCNqnU8a7bYHaXkNwT3ZqJVrOeZLMlxH0ar2K9iP7T+iHLFJxYBo
yJtmnzYsn5rjdvQ+PvQiW8p5dv6aTAkKzrYbb4Ju8yewl2coBODvCJwDRg0kY/WnaAed/MihkAkf
gDNtKw4iGyc/HDdNypCB0++AB+yw6PE8YkLRfWn32aoSTwqCd963qMyxYw6rKtu51vAvh3mRuINF
Gmel8FQv523KZn7FEMuNaNR6pbwrohy2h0cvyGURRnJtGqQrzuiYsPn0ldyt8GcHUYYo0mlzA5Yx
5l2vC87O+qyNi5tqhaN2DCamSrPkZcpQoVWrF6YtWbZSaH0cDf1LR2FTU8Xwm+8+DQA0skKNS9t+
iLcdu0cTRTS5pixRealEOqTVBDRsLadxBbRVQAS1NZWECi1+yPRs+DsEgnRrEeACrQ9LqPOpCOme
oYIROnHfI4NUhSKH1EO8Q5bNyq7aoD37TvFL+Y8WBSq9zW0ysDIbWJ8+Do2PYZqs0RS0nVXqKUDA
3x9TaWMVihxi+xUAZjvuDRp1B8gBL/WGohCx6fWMrGth67t2irv9nGTxNt4JDZy2oJp4+KXr1rzG
Oena+3SvR5B76rgfTwtfo/QRAjtGsaYM2T3mP2PQR+Q3enMEXUyrElOVfPk2emUjBCTujp+jAXDK
p3hQlydE0fhUiRFaQrWIBkzdL8AP+xL6CmeXAl4sSXoT0zRHc5m7aDx14Fms33wahK1qSmt35bFf
+8rkWveHgRA+VykSaVxfzEaF9ohucBA3dQb7NZAvh0s8GNLSpkq2ndiuaxczXkIn0oi8ghNDjAXV
1QrzbIxCp+aarhvZUbM4nZ0AEkyY1s+o7QrgsElfQFm4y2rGazAcs21J5lfW5f0QoXdIMkeQdwsT
k191rwbouXpMyBwOU4U6MSujwYgrmuo0bOc+4YS/wDNauVuP1n7T+MW7TGaoQTYyPeSsG7aPEX4b
ERVt4si0HC9u1mhIV76v2f1y6aBv6mjqNxRf4MvCYCrUTfMQVGLRrJiFUCzwrAdmxUrMWnJ0q7FV
YvzeBXTXIMgFpuJX49ZoRjHAcjRMk4PcdkVazWSurZgW/pBj82hQKnK5/+hbTCO+SOmn/pg12Rh5
3F1NRmQxU9O9y1DuYy2ngmX5UaM0ml9bneWeFy4RcGv2LFv4cwJ8rkP8C/B/902YbOlfdLRM0ePU
YODzbr00qnAsCHxIS7bO8DWGbE6b4dwqzL3wkmSaHA1D40MPyFFc5hsoAJvclztmSBM63c6wjlVx
Th2/8RqTpFtU15zeoizK7PtxkL25Zg3x0zlakJX+hcRxHZf0UrMdl0lFSzGw1Ee3Uwx3qnfRYpcO
exxs6EuByng8hEVxc99ZB6GLymO2Pu8DeIEljy2GPB0ZRljMmCZy3zm1un4m3mLzH5FvINf9OtoR
342SFb6Gw9nrhgTUU4i4LhO2ueUUplGQkwHK7q+Gnu7xC1DFPL/uekwCSx0rEAAOEJ7Ghld4N3dg
WxdELTrOJk2XklAlowJr7o5qGzLMGnPYYxzjBNTq+dhFCeY9dMSIJxQDItZ4EeZN55VpWZ6d3LaI
/aSzLYpHWLqlfhHA9BpkpU2LSORtnhhrX3ILV/VX1mSLukVh27HjkLeLeO89RjPV0HDZQJ0IQtpj
N44DvambYezfe44bcxNS3tvreEGkzt2Kz5oi0Tzs+aNcmGquN2lE/wGNXlevZbygWp4rOXEF2DqD
R1sXlwsWs45KeH/QoCvMARkXxx50wIuFMfsMB8PYJqUQMMBUB4VRkF3OKMAMbqxjUptHnNMjgGeQ
cTBKQ+0mwnuC2w5xlcjbfv+A6Um9HVes5KPYd3aLJppGN2lUCxR2NIZ7XXoZ4/H0KpaU6qtesjm/
3YcJEt0kDZP77LtFwLSiX2AdcnSN3kJbJJ7mDDPOFKSreLZ8LSmADftFrbCsf5xgu2DT48XqNQGm
seUId+dmF6sshfK+r4Iyl0Q5Z+l9bupsPGcQl/vTPOqFVM0a9HibWvjUACKNMW+dgmHLsQOInxSR
TZLoiBml66qBNwJtp56tRoVEVEe+bgwp8jf13sjtCZYMmQP23tZm/0HGnDTfdD/FwzkmkDqeY6C+
8x3k5cY9D7CkRm0z5tl2m2SRDb+GOZf6NoQmsgD4tpSXu0A5UgBfXjBb6awF2W922d0SK+tLFxAc
ejb4CLJa9jTtS3DjKWbmWXbhqK78KEAPvh9WJAN/iH3f2Dvj9mS8Zoi92y9Pm9XQOggXkAxvWSa/
AeaLSCVzHmkLs1b0M6Ud8barAyrrHgckNtJLm++N9g8iMispQxQlBouFzwZyCZ1f7qDQgKtQSZhc
PFi2DhF06R3rfiyX8/EHW6Czh71B3pznSYSkiLHfDe+JManD2mtyNbtCcwuhPyAmBEWxNu7iiqR5
BHoNaeb6Pm2Z80dso/BCXIexW1+d3PR2O+1M5R/NttAMzcssl+sQ2L595Ezp9eHi4UhOVi11oWB2
MxeoRpsLWK63FWcuBpiPPATBrm0LpcE9BiUKHgyojXdAW3MP1CpHcGWWu68Qrs68gLAo9YeN6h6o
nZnbJ9AkElREK0KZnySYjTgXkbEB70ax8lq8MB0L0LXHGPOs9WqszTy5ooPeLysmDh4BKTH7Nssr
gKQG4C0Am9h9BVqxd1FBHcpXWeTYZR0wxGGC2qOAST36zuMGeSjCgcYto+1nKKzDYorFI8RmvlKr
yztZ+hn+4ahDY7rlSWVICypH9W/WONjzRjm/wqSKuDIGI8gWEXdzXcIomXwg+O7oZvVto8+ivWC/
DdrvTV/2zKx+mFJrDkAL9gVM5aiOzv9WL1u8BZsNJxh1b1sVUzktxR7a/AEDq3GpaA3x988xmN46
C9GQjWoa7XCIxSeZPdP15xjqbw2F8oGsGNfguqR74gAtuvwnJTRv7YQmuDWKumPsiGMyBogk1vjO
Yre2f6Lh/QPDKowMfs/0ARSWOjDSMJmIsP7mdurcjfLRBA9EazQAp3SViAVgYk4fNwvoFg2WjOJy
ijY8p39Nobqwiv4Z2+gNsazBiGbrIsOOE9JMh6qDMuQO5MG5RL2G8SNmcfz8r3/SH5Gp3nBBzWzx
qoFTfIQhwMzeuzDVS6Ub1LmVx8kEd1I4kgyoSrcw/skd/gOS5Vt3Igl+GE6TND9SjkwOB9uZwwys
+U9+oT+6+hv2mUain2WtyMEcUd96k7x4rus/oYv/0bXf0ENRps9KN3V+DIj9KFoTzt0ykJ+8+BuG
mUsSN04LzY/AoA8YpHZFnQB5/NeP+Y8++Rt6aL2tnctFR49NHFmc6WtdJC1O/5+7+uWn/g9yXNpr
AnYQ7ku6K3jzOoGUyX16/68v/gdvaEx+f3FqEuX1JvG6tEykPywwJV/GNKTIFeKp0oVewMY+QSmU
65+K5yNv/Wxa3ngGG6H8iDjU/GM2G3svE8Cr//oX+m1z/Ser+62bDZOBABZqsqPiogUCLcbgMVzB
P68hcfQlQ+WN/zNmyUivOi2f5d49J3jT8lNtu6VFr9K0B6Qz/thWgujmwjGUZP/16f79+/Yfzev0
+F+fw/79P/Hn75NGs9+07s0f//48Kfz7n5fv+X9/5/ff8fer1+n+q3q1b//S774H1/3Hz62+uq+/
+8MBdbkL75ZXE55e7TK4366PT3j5m//bL/7l9berPAf9+rdfvv5Q3Vih6THdd/fLP750/vG3X8Au
xJjkok759//5Q/7xNy6/xd9+qV6Htvvn3/T61bq//cLYXyFCyZOcctT2l//+8hf/+ttX6F9BwIDF
D0tEigyxSwrTiOTT9m+/pPyvgCEIKDKJAH4BvOCXv9hp+ceXsjjFd8WUJAmumP7yfz/c757Rfz+z
v4yLepy60dm//fKbgdZ/v1L45XjKUpFlCYXKEoOQN9t5N+YgpwmMRToDJBuklRkD3bXxn9rVrQ8g
Cj4vkYmeRuJQEmPgrW9AcAGjAfzUHiWpHD6r3qxfUVV157oXCAQfaI6ZrlgKQAru2IEw9m6j8faE
y7co/rx+bADyvqIH+eYXC77jLhBCJ4F80SmbHrXw9fOcYj6KXtB+JFOmvk4cxtgRQOXC1n3/GKb8
qZ+G9QYGkaBaEepfiKTxIZZ7XTQY0lQChIv30yQ+AV7LysSDkTn283agUeSv4hE8wi1Nu8pajaIt
zO9jRdoLUXeCasKJJ71FfbUsbn6fKVho2wa1eOMRQc6Ny09gscxXmHf4jzhcQblJ6+FXoOf/h70z
240cybLtr9wfYMJonF9J+ii5pNAsvRAKKcR5Ms78+l4eWV03UpW3AgX0SwP3oQpViMh0dw5mx/ZZ
e5/qcjTi5Ltrly3yRNd/Hyq3u88GWZLaH0FHmDY+XnM0nDTMylnT6U9F+mueIYEz43zgeOV6l5MO
MRMQGV5zCqDf8coEkJQIGM8yUx90VrzUuuP5ImomADI8prWvRutk9Qze8Bcndx9dreguklYvqTPc
tRmxVNeE8vx8yP+nX/ZT+g4kWn/2X9/2vywQ/4uWBMPWz6vy/3s9eOLV/j/+jyp+K35dFf7xz/25
JHjiD0GjQZhEOOiEZZxdZH8uCa71hys9w6bC1TEGU5b/3yXB+YMxj47whGN50nHO3qf/XhL0Pywi
zqTrIP4BvmIF/A+WhL+WkA7QkEuenO2xsuhETHwNhyAFKm4L13aZIDLk21Zknj/GdhpaaY4aVi2/
Kbt+1t+/rkB8HjYZOggOV4TH+MsKlMk5MjzhOTs972LCyfPsB9AoappeNZuZlMGwjNau9Qf+FmPp
l9H1/CyxhsdVRUUwjdJ4yJndNoa/3LZ/rJS/roz6uWT++r2kK1xTWFJ64MR/LSO8rkPSxIVA/V68
9hXfQwfBYLaStZe9efS8td7VhaG2EWpnmDC2WQ3/WU7Mz3uBMGtJIST+bcYf/vU75Of+35wN7q5J
53YXQeccXT2t7//9T/2bO26a0rXYcTzHM7wvhSSNwTFL1szdGbW1t/LpyTWddD+lRcN+0E2/ubA8
p1+vq0VgtcEdt6TJg/TX33TmF8WcuR7DRhx7O7tz4WcMJPzNp5zr0y93z+ONQBu3Bc+w/PJUySin
qWhFzs5KqPja/FweFcPtWKbv//HFY4u2WXT5Pa79dViTpa1c0fPjG0Ev+qWWfU7pitZrVDdGlv+m
vvybO+WxU1MYsFtj6fnyq4D969rpTGdXY6oNCsoLP6ENHYL4FsGc2b85cP00x329ihI13zBZEVin
vtyrFO11VU7s7CBM8G6MNRuUE4nbgpC8Q10y566BVdomcMv7tYaZ0EUZfYdwxUZdzS3ajMu0s6oc
Q+Kt0PSERXSfbbhFaEFe3PQSqC10k8prD0NWpYFRlgTvM5E6Gf16aqeAaRh6OFgZ2yeq5TdVluo3
pqa/e889Ci3pScFa/C/P48TxfYI+cnYxnfsDLVX3sIyWQMC3HkDAt00WdYdKxZ8OpfPGlLm8n2LT
/c2l/rvnleYCHLzu0Jr66qFXGcKKFRXerigG80CX9qoSNg0nkdi/OXP96yd55+wgQ9KksbjWX+5p
0iTd5GUgMU5EAsM8uLgw6vK1S347GJ4n818fWE9IwgwlKRuG8+ef/3LQa0vd0BzZOTsT/8AmH7V0
r1jxbySi2K2t8SBICs44n8tNNiCthr0rWkD7qpn8HMJ+73Uge4vjUE92g2XfDelovVlj6+4nGxw9
wDq13Hldb172/Vhf5EmZMnY9WUq/0Yds3hYuPEJLqwu61RkOwlvwCkGSbz1VLTut7dpQqVZuDAta
m78oCt234tqKdlMvW+bN6NFpgKy+riwdy26XdPYmHmcZjo7LzERRZm9Lm5UHgvOmjShoQiyepfmk
hDqHvO2d59RYzetJ8sPXzuwCcIgCA5aCXyTo/KRny7lYNcBxmvJwHlUZdCUjP+p5aO5NqZpnOVTN
G3GUBBsnbSVhyxEKGUWEeb4al23lVcU+FX12p4mmvXZF6cIY0q0PczWv1Llovs9IrdFJIY9DIwAF
jGXrvtvTudyNhPGSa9lThUiGnUSr7QsYrWvDU8aVUyYhsyT2IKflvhp1o2EFiOWtrrsYg4zEdi+E
aXTXK2SLH/etvetalQN39Q2Jch5EWtFSY6/1UBzHGlbeZ5VaLr2BfqZP1EI5hIOMBidA1yXPqZ3G
H5RMXJPJqC4TOsCEdwz6VQudzyUz5IByDd6hd9X4yNQLAppKq+ls8nyE90jZtvRw6V7/4BaleRgG
MaLAtlqgbMu8bEe73NStiDo/jc/6Truy9ft5rJe4RAqAvDAf3XQvY09tK5f7LbuRyzdqnfUW2fkU
xtxbFqFRTzeQj9YLx+jlAn3BfDEShF7fFXlyPcYtzVYyo/kcdxDYb1g8ZlZOJo7bfl5O3uPUWX3x
CMxYQZuJ7J3uA7/BiSyeePom3R1zSnMmtyVTs0kocUAjVFDopvO50nDLfBxpFY6T3oiynSubjNZp
PiyXMi/b42r3DNpOweN5hWLh4zK0d3KlwPFZD8rvtmGRAE/WEiPnTdUelFc6vhFDEY2RAGhZYYlo
FcceTh5tVQFWB0Leqgj30xzvLaMeE3+udL5vMimj9hO3t9OglHbi+ZqWrpeSPvow6qRke5a6iPuq
vDOqqQ/ydNkCtSf3UngzQyyaftvx3faopPT0297bu5Youb9zCYg683ycjY8YKYoBRL+O9ceReM8L
Y2l/1ExM2qQDGV0qadtXL+IMTYFqtAdaIspnqJIMcjniNtBXa9ppLsIkAWFcfeHmJ3eAJk9obB2S
iqzwzLRiQMy0fCPRN7vKKn3au4aKPgCmrMjH0TN9GzPRhAW3mCFChthnKbGJ0zImO+RbxqRliXof
rbL/Jr1u2Xt0EneqG9wNR1h9C2al+aX0tvNIgQh3QccKtGczO5zI1IAsPDZHIjbci45mRA/0O3FQ
6GI3iLLoIV5G86JVenyt5UwLVXQO3lJykx/kavWbIo4Ny1eRGqjKVbSXIJz7pOwh1qyUV8HVYlqv
AHp2Q3FcSiu5iJvx2XVVd3RrkRO+syz+NAzDnrjJ6tQXlgsNTWR9WGO2pOugsoJhL0UWmENWhzPi
k29Y61VnnMcjZ856J1unOzVrnn6fU1ZcoZ1btJGe7to2n2+I85oOGQ1IGDMBYpav3oPdmuuGTqYW
VvSITrGXPQ+gfLu6K+eA6XNdENs3UVHeCpEXB7I87MM0GLkf5RDK6zjuMG1oW1LTpx/VBJro59AK
K++apj/PXmuczKI7YVfuQrfJ4mBmDgnw0qJfFr1hxr7tJsVWAaCEVlFP2xoLnt/pPQcK3W4g3tV4
G3XwBltlOngfeyK9sFJ/znbnA+ta9xRJ625ok9a3al5lWxc7XbetzTTVOAKq/luTqksjqxbf0bUm
WFnBmR5ZvRGLjiGSX24ovEgxckRrwjJ2ThcmjIamnQswbwyTgYtriG4rYpQ3THJdLjLXPGFCrELP
1QgAM+x5O01D+xp5EE/OoteBvaw3ttWSnjBV9uTjvbSfKzhdFOF42TotGQK09zHOBWfogbIKF8UD
ddn8TVapsS9sI9qpdCoCncXmKi2BFPVW8+6Yfmm9KA8SNMzBJ7kadmnPLOdtNvv62a4dOm0diQ1c
UA5YV3NFUCZX56awyNJht1rV05io7jtsOJBC63hqOMTZMhOeUiFO9N36uci0IrAf1H5yhreSZvSB
f93q9+7cbTNTod1gVg67pbhl7Q9pZOqMQWcyKqx/FKCS5S9SGO0RJDX29WFdYTMm7BBFnGzTNF8A
diDj80ldqDWar53CfBwlbc3Y0x4M5ikGBpv8ja1Bl3ZrhO+LqeiV4zOSlic3P+MbjtneSVvc4aVs
9zV9G9+DP9yjhmXHc9NtX7bDcBiA5M7eZuaG2hYPxdhKuYvrwsaJr2ubSHVYkBpZXOL6kTdDU6Rh
JZLqpXYJMGhNaxNpS3ZRKVaLGXblkw0p3WTVVOxXQJgHPD86xr/Zmn6oYrXoXIqqDDPVrT5Km6Bm
tJatprn13i3q8kDP+rOWsj7OU6TfYRptt+B9N6liSirIghXUnjGjz+na+AhrG39aa642eFGW69Zd
xAGcJtpqladuV6uIt8S3fCivHa70Sou3RepVRybeMVYkz4Z8P49i3oGvLMEQtdmmL8W3FuIk6IwE
MMAd5+0anbWr2IyrY2bxJLizFFvdoLk+y2zd1nOaX5hL6hU+0V3pFMx5PwWAyfW7nGVxEVUy77dV
zxXxmM++iypsdbgUXL9J7IvcHJ4XNdenuZ6v5qLuPqyyGS5BexoS2Io54Gx4xUCCbuNFXfdmYErb
laIdD6W17PJae6yiBQZjWJt40xK2d4T1zzZJA/wWDzYTQru5v2I+K1H1bIL7uYmPFVDDg4lpCQ+f
K0PsmeqjraaVnfusrcu0BpUeYlLTJGtzXtsMvWAYw7czBBng5LV9t5QaDnlR1CFCxngzJ+oJX0Tv
19pwmcixCMpl2tT0W0ISDJtNAf6v6hl0cKzX3ej1Y1BIxNC1cU5yxUYrmQv1jcLeUn6cRSGBKljQ
KjRnv5whdjMt3TZOBVgt3is73Q+T3h+KYVEA/Z3cG7WDtVsf2YWNGZYmtdZdwaB05tJuu9pyCDha
FizljeYevXrOQknS394o7rG6lWE75HrIESqsWkZVUcrnG2iNeGMnWbRLCOHfGXw+Fj7rvScP65nJ
jJAGTBYU02Jv1mzd9037AI3v+t24HHtteHQzSbbSuNLCVy9er7FHJ9q7m9aP0shPVWrfxSM7VFrq
18Xs/IjzH2pyxx3ptwMkfYyFYsCI0TbHxnIuU0s/aQiqAd717rJQGuYrT780ySndRZPhvtegJNsY
Tyy7VMD01nGHobp8Wo0PpLhi68oWS+OUlUHRNoU/0LjiBnbp/UD4K6tY9aBW99FuM/7TvuVN9IqN
4zLRixcTOuqiK00VDIXKtlWZPGCM21tleT+52Usl20PTm0VgddUVs/n47pIETLsZp81Au8fvM8y2
zKhk0pGFfkEAwKGqpnY72cUtUrd1KLLkO7LDgTyDUHNbC9uH7vftOIZtlkR7W5fENcIfXy+N0/3o
i8JDNLMOeaSVRy+1MMtH07orp+h7bjgczDnu3/etmbAaR+Cl4Mz2e7LqzbbsGCEZldZWeaI4Lnkh
Aom/61xK2e3GNBYnSAp3CMFHstDVPeV7VXWSpppBWWZqlSbyONxP5k5jht+um1L0dUujhuEH41lk
RJEEEMGnV4Vrzf3m3Fr7k+bckf1wbRpTGthSvQIAb7ueOr+yqT7LXDJ6NGLNp8UaEJJJi8E4wa48
4cm8Km0Ij2rmvsca5vnMKdQhSdaGTb96OOcCBIA0vpyz5jnTxzrUgaz8tP7uaOaTXYg+WBV79tJ0
3DQF5yeN4WYB9H2cEUMxIlnFXk2xvjdXWW+aKFl86KTsLR2HfpeY2NYGBJGjA+2GLE/wf1tO1LaO
emUEw7gzbZtfKrLJL7Px2tJbzCWlUW9Woxg+Mbsb12k9U93ZRrHFE11vNW/uQwxrp4ozyzbj/HNk
difF0ZllxfGmeg4YTE1tnxPgkh2jR4YdEstdO8T1NmpA2sf4yqU8vIawGXALr2gZXgRy5UmI+Gzm
3Mz89fZqlaLyFbNWt4x3bqn+1ZNBqNeGmcBiK1MlSNPvvQCj4nwvtYqjS9VQS6pJbOPaqd9nftTR
UU4R2jO3VOpDs5eJNuzYb8VV0ybiENd5dSzbfbWs2cauanliCGuxiTusfLnhmo+YIexHd7Z+RLMu
QymrcZcUhngqmL65r/RMu2uaUX2HKY1velidE9R5E2SGoe2aPhl3czknDGH1uisLmm/DXIMqdBI6
p6KFbvQnqnmckHrnPIg6D7Qh7g04w5THsEPjCzBol8IfEujtDmgRy17xsrSUijGK1zsTV6pN2upL
kChKoZ4j8s7LLAOtOqNWIjJkTyyIhYvPto+NwpE5rEvIgcneFLy+WzC/gZFymbGZMgsQuIznm1RY
GdVi3hwdopnDqrO/JQhRwLfc8ZV8qb0cLR1Y3JE5mQnDDgooPZmzUgcyhTaVN81bjxeds1RJAG2W
jpssVdSVllGeiAehwK0K/EK5PoUj4SGHZh3VbpilvSuL3rrgc5bNkObJbiXKdR/lk3uMXC9Cc6nb
0Eip5jmA3dECM17zKtMDe+4/Zs+YnvU8fq3wApzaOYmeinT94Diubr2pxRwbK/yVKRjqVqdJeKGJ
7kFK64mP7Y6V8g4EcZibLqEc7sxlCVSE5CbnjigC0SrgbaGhDVWqMzYl/PzeKzUd1TG18ZlWPD7k
/G0ZHhvFWw595tMQKz3kEWyexoxtOsoBvdxqIC0mwXMcLJldfUOrIJRGm7xAQWS8ZXli4IZIxY1s
W2OTkHS8+KBf6iaX3ve2KM+ZBsN5MKJBboiJ+XuKVqzPnmMgMA0OftlKXVY1Cf62N+eHca6QRNvI
3rRaXe40jbwGgrAw+zl6elySZeVgpmqCYfR6YqLO+jp1ptjHa7w8J7XC3ZRlCoXD/u7MeDITi3G9
NAjiDUxqc10YUR0AkaWX+LCywPWM7MDj943JHo2O2yRu90S0J5fxCMa71nV6IccxLcC+UVQvinko
HN8cjPHbkgnzY8ymVsL05stunByyaQzG/jzrQFL5xpyc2dqoIUk/ax4yB2JpAZJM4n65X0vPcYJC
aCrauNrcE3iSq+IZTnTYaMvESW/t13shY3PXgAk+qCU3Q7omdxnjSfbKU/l7GbXJlnSCOXRJlt6I
ymb6T9dYD1FeXeT9eOWWujoWsNhklbJ38K4WKwa1EqOi42KSMZ0V2h4bYgLKUNSPfJB6KIuqfsYJ
bVzrdXmFOTrfZlUDCJt4+rbQJxJ3MsazvTR1Yxx7q5Qb7Av1EoIXR3vdikYmQi/rXR6N7X2aG+ZJ
4EzdTJopfIE/3l+0DJW9K5qCxCOPHnLvpEPYrtFKuseisyaWgv1XI3CgpOlajgGWGI0I47o1fTPR
znE1Q7Rt4Y/BQNtzbHzOZuA7gI0Qum1XbLVoat4I0pHW+Z5gw2f9uYLZhobA3Vn6EYfJ3cCldi/Z
v5N8m0p1G1kdq1d+iy+r3HljMgcW+qXfkOdywsxwY8a6FaLkjAF4qu2vo3aF4O6QxjAF3Rix8NJH
2GrwpZgg4dVILgmblJgSgM7A08BitTnHVTt6bX6y4qwldqZ7dNo0S8IEKw0HhMZ+w7cu9yCXMsCm
0m8mD94UymS45UgZ8f6X2a5MGAEytw3fqk+ep4XdT1pEV2h6LnZIHx9rx6STambedL1Oj8OS7Nup
n3YotTqJP5G46SRuDsYaCULItZwARcfcV31VBEuSt0fDTW/tnoDeehyPEdirhqkeMy+pROUGVWc4
OV0mv8/4eKKwzMoSWz1pWjtc56OFFNr0F6ajGPVJlD8OTiXcDzsbiRZZZPOE/NF8o6Pf356H/D27
Hjk5XHnOxUh3W31UzjW13BTYLUmGJFz8dN786JNY7b1Vn6+tNYZOEF4RfUeDpcJHL28uKiPusW6z
5gkfDA1KccgrjaikuG0ybEZe33/mptDnjdCjVeAunWk7llaVsGYajffAXjpYfoLrnFSOZeAYnNdQ
0IfeWxrQgFLQUnUJTFprpzz1Vp495PYYbWC52suOhIEwEueOS5Rqr0vTBHORkvKekPXSDVN3azGS
d1c2urhGFnH4V3eQmTHBP4HlODMiOrWsF7Qzjl28YyzT5xxXOj1zUKkqtBoyHqKiINAGByRU8YYT
UBQ0qvkcVvVQ9bP3UBGOxrYbL5njE4uDV1Nfn8tqflo7RgiZfS63yZiGWpeTstD0BFYtaXqMazQh
GjqHuEi1R7wLaeilaJfI7nmQJmt6bKI5LMvE3PZMNgza2Mr2rvA4zI6mhvBCnt2BCnas8HCX9kpA
FruiXwNfd0g7E3kIyiWXxeymIfZdLWHsMV0V7arujKUG9CzRcVA0kjsDiueCoo80rMyuN32aNHew
Wsy/cnobJr4pO7rUCB52xJgw2d/A95vkcDiGfS/ipt2rPOYQqTit1CFQsjpqZPsR9CCWeZu7nfLb
GFlTTI79zO9at0wGwifQDlb9aKxjb5xPLMVNJGKcc/raGh+LhA0OQIzJTmI4qwxQFpsHdzkvlvl4
lpBzIzI+TTsnD2Zi3NiOkIKC7Q295Mmac+e5XxLnko5UfSpABG5pfDoHWxrGg7DiuAltC1ceVbVJ
jEFfdN7LuLg1hYxWVgfBDid4tgXMCvPkQeStkncrG2sSGjXd1H+YePAfBl7hx0hkzWfuVCsHf68r
r6tWSFoM+JVWv/XM/KPVLHGIZqIwBJ2Ru7QkTTnME61j36nt18UxnWuryYrvhbNGKKYYiAbsds+k
4oycjoe4fMsIsT82pcn/ryYPGaLQODAFc6lIJmtq686rcQQHdWnqb10Tyz2Gi7H08e7bN7kg9Sdw
2y6+wUODtpto23Puw6PovP6zrmT9SBMpeirjsn7RePc3WseVz7ic+cGmktwvVbo+RQvRMVUseTWX
NOpfpNLsN1Rg87UApQ3GZgUhMFJ8bh0l/GqMDmHUpn5sNJOJjWWdbUpnmT8l/o5AQ7cBZTdNv+tc
E7daWxmPmlUmB6JXlpOaJu8l0/EkCKerfbG46dFGZrbpY/TNtqlV9LYisvAC1EX74lZ9dFyptSmq
10LtcgpAxmSXXbKNR+uezav6MWJ7vLErJXY0GzR8GpaKN5R5GVGq2muK3FPjHmFB5n9F4ajHxW6M
8+wKjqMnN4quxMaoG6JuHBeL2xyjd1kwYQVRfWVzt3SEJPn5gr+DIxUipCk74jz6qTiY0+Ie5ijp
j6lZNx/E49AYrDGTtbjMnGL1cc0V91glhQj7vKxPLBguxhrQ5xtizhTTe+1ilsEoW07RNcMNyk2V
Fjl1tu3Idz1T0zcE6+kGuL+9IxCn/mG1Q3GqRJUf1yGyPz3Tck9R3zSXseloWiD10fi0hr7+kct8
Mn1trIeXCvTkOVOqc0iTcZQdumlLHj+GXjPysWXYuI9tL0xokN53Vkv6rEvIQ+qbUSduNdWbj7FT
lh9VrB51D1W06qhI8MWsme8UxIqguLf5zYqz4K3sgD8DhXY6UE+R7OMgva/7rkfWs7yxKwkCnLnI
QzNSYGh2s4pjlrRmyVwpHbOlmqP0ChzcqkOLritrBAl8W5i1/gKjnHLCHL1iO2Fw5WxdjRixpctm
I7ucRnTjauI0tiZhYDwS8koMDoKd0/dLYDGT5W1QTZSHseqemWDaZGHptMlhLFV9m3CjCNrCGv9A
YIVaNmQEOR+URuboM6Fxec9i7JZBUTCPbn8OY6GQwhNELt80Zd0u0tkzyVPsZjtwvMp+HWrPTvyG
kv8ijozpAZMGO5tnT7t41VDttUr3jrGzfFcKXyGd42n2OVrznlAj8QtoJuikmNQtWy469kwfx3mJ
yTf8IJoiQrLsrQD3K6iIrl9iIgd6Vq6p7J1h2gwZc1CwJfYERcPD4A/u9X4cB79ZgG83eOJKOh26
U/cbM0mRzjo9e4/wZhwcM7VkUMS90ENHiHRTFlH7rhZnYdc1dbZ/WjfLBRlFRSAwyj+vLV0Hmhgc
3koVlfmeqVrGR1b04mJRJjNop3XRd8tYMuU5H+0Az+aytQuaQDyS1WGKBxplDs20G5sMJNIMzYHd
pIu69xWinhJPauopc5IynHD8+sx6+DRG3buwNNM7ZtBWN9NqkNrEz+6Oi+rUaVnIX6NXyxl/wUVp
C83X6PbtONvUScipufkkJMRIfIZzpzeJa10X9H13Mm6JwitLIw0kaTL7rNSZFEjfPtlWnflm1WK5
1ezMfNdspB2yWS4Xqdcfg2VkD4aTFGK/TrWH+Gu2zx67+aUW1/pV0dTabazJ34EYZ/zhr8iLJ0wo
KDZuCRFrnvGJX4gFwkychgQr93ymp3nKiRm3f51cF0yRYd+mVL0mKCd7EOPIVvrvWaKf4wb+5cNd
my4oVC7gzRe+Z5Ua/nBvJq7Ejvtrz27Unph8ugiCtr0xzSKIOJOd05Ky8WNa2VLUMBAWO+Y6zsDu
PW+I53LdErGzESSlVTSYMIca24kynn6z1G8qYiSRZUqbfBh21HWvbLM+Tma2nvouverkSKuCAKGt
AalVBAzSIC9qogJmry80hO1c7hjCgFsUOghrEWvZoAYSYibrfh44HFhMkLlpU/s9Y+pzoDljv281
FvysrpwaZ/cZlSKX6DeXTp6p/i+XzkOzxXpiSNTBrwPcSh4lLp9JtQ5DyblB3JjmvDClMlsOlQ6y
RK7qfjE8+u46g0Qv0m5Ytl6xoQo4MwaTDKM09khmT0ZySYfS3pCpNh5EjQO2nrULIlg47xY5BbCR
ZXuiBH+X3PwF7z/Tft4ZFCeUg/+GzzmTc788eil7STN6+KyFajKOON64ErS+zsnFqvW3+jzahADx
dRZmNR51IYYfdLyGgxJnWg/BzdKrnFdsEsgecBu/eTb/5vpapu3yXDqkq36FBGM0PFu3S2+X6whV
tCJj71JElfrNx/wMk/56Hz0T4pFXgKVd/wIjNjSMGeJC8Bntz4V0YEnQ1TSpIZznwv4uOcCzRuYY
+vSoColHsm9TilAMhVObX8DseNfF4uZgM7wsjVWV170xiMXPo1XbmKm4b/q8e/z3l+anOe3X78x6
LXSLhG3WIBft5wumSQTfiiDBszd2kkVhlZUVOAJxMIvyhpSGxHz08mvSCuoXEn50IjmlCJKxSI6L
udghMMPyYWXe/Occg/8Paf/Ot2EAYv5yC8/OkL+YNvZvanmr3n4FtPU//5l/ejYIfT1TchZoJ1Qg
byLcxdnNYf4Bpm+fb7dr/7Rm/BPQNsQfLpQktALHdIPTOztH9w/PhvMHbL/wIFJ5pM9/8h/w2dbP
aZ2/Pm7Q0gS/gCQDef7N45brMpE5mZm7bNTca6DwyUFxqMpttWbZc2z3wwuHmuJAG54xSF4bSd+a
TWMjCNHaq1F6B/zk/R1HrKSCY8u8R9ISjGc5Vc7VugrzIbUiKAo66wdmYmTf61QzrpjQMJOBouK9
XVoOXVwCn5ag1XvzI59XOjFdO/RXdE7kvelkJCqlnAc/l6WRJxT64l6iwDEwUshjlRj6TdcatIAW
yIY+sctD3HACsJsoeywZ+3VUmhs9iibJThnRWenSs6RpHkkwhHBs0Gshd7IeNcRJzuGaaE5GZiAN
k+cbWLGFf7giZfrKS41ql3ZpHZqkrYcGncqN4c7lXdorxx9JS7wadPL2YCmAUFG4ltQWl6T6NScj
SbTjTIbSlsPVeGXK0cQfmOd3Yy/6U93HK0qkXV210uwQITp94zBw/Laokv4w9p4gtETQ+x2sq2hQ
xRUpRrQn58F70ZVJ5KFWjZSo0iSXvM2vCyhyuOtVBOd4PL8Y+vXNK01KL1S4bU2oNKk5avH71Slg
CXrrqEwhEUubz6rqyUCoesbGcqjNpxfRz/FjfzbwLGRZ33vREP1gwSb6yvxpBqFxwSljEdJJD4QC
lN02NRLxUv70l5g/vSbu6syv2dJO5jaPzPSmcsfoMnXL+cLT4EpwobuIpuvqpiHhCl64qILwUJ4R
GhYcg7EgYrCrLt1xKD/1s0MmGnVkIQG5RTpEXV0aZ1NNNFvtXUErMTTbUgRd6nwuc4ZCn/T1UaNm
OUFxxGGpVf0TZDMSuOsNT86YpY9kRRLK02q30s6ai4z8+E9tTolAEaClwOTnNP0sXiBcZPaRJO6r
ZTnRqVFnnm92oguJMS4cpgr2ixYrWdgRe0TOUaGxTtTy2S1wgR6ma7ccZ1b265LdiGnPD6Qv6+fe
aDxeAnhUbwqv7X6R5rQn0iW5VEuTH6ys2Mh4jva11kFUMpPB/kY4XH2NkEneo23PzNhLwAcNZbub
HDH2mQyW9DFuivxQ5dP0WkK0v00RQWAJLcEQTYosEGJuQ3Ijw9y2vqWz3t5ilybZbyjGtwyb76M1
G8lO1YPx0oxNfFgHhB7CQknCIo8/BYui+k5C/mpzFXds7j4Wi/jCSAj8WR3VXFtz2t1wfm6eIgY2
dzQjaWPJViJai7JBSAfBjEaxZEGEVELdjeeeAQGlcS0NayZ+42dmEAEJ0h+lPj3aZeocB1IAOalq
9QlbfoubPpPXhHyDjFWDvumTnqCW0VFEKDmZRYe3aezTf7F3JsuRI1mW/ZX+AQ3BrMAWsNmM88wN
hHS6Y54HBfD1dcCIrvaMlKqU3FRvahmZwiDDBoW+++49N4sjlldh3us/Q8K4P11mgp+EXJsrpKiJ
huqiWXQ2nmO+iol1w66MhtFAOZp6IsKGAQfLj5YHMKMyuQF0AOiEzQ+ANzO1zyyJm3gzlCSmjFIi
FLNV3OFb4RysZK/Zm9oqgaXQAw+q0pRjslukcK97V28Wv+XJ/4aFmxsv3kVWihkkjMWflwjw9Jgj
arM3JdpzaqmTuPTJVL2aVhyh0jDE3U1iLL86jPpTEKIGvVutzYK3ZL/8NlUuRkIORJYMskzlSHed
Mcg3Av+QuWJhuk84rO3rrNEVRD5jKU8MCabDgryaj0JpdrnvC5TuYADa+BlVk0EDgV3TMBzbhbv1
cre91erBvTJRTzm0VQiEM5nKPAlEX067wRjnAYFHw6NbGp54c2JS86sBG6101rsJb6jDduOQJEbd
BqYmmmuVp9gAp6k3p21k6PMSdAKGMrQ7Fz8Nae3qIXFGPC0KEUH4Mx6oTw00SOoPg+PEaKa20T/U
sSbOkMpA+oG3bbdyiKMZiEQxP2hRhgSO3354Y2lLqLBIVJliWFRWsoW9EgcZJRQrF8gOmelzpJWI
5MToG3mmn+Y0d44kpNFzOzOZfiG6lS9DS01C5WInwxRoA2bOpia/h08TvgzK667g5f1qZtF+2Il3
b00T2tZiI/74GIuc3cA+6DSwsHif3RFJHbCT8259u3wj9qdHzYlkCFoC11ekj/I+pFHavY1wW5Q+
7A8AeplsFXgQdMhtK+N+D1kWdLYjZ0cFOYfvk0jN6QyCN3rWrKQk85Rb3Qb5HfVGOa36ycQ4+OYq
80D6j7VtHCv7SmRsDnwwkoz3iHv2UYic733LF+G1tnPnce4drsaFBOBfkBCmaSG2qnm/hCGtnXqk
P8EJiq+ywkYVgJIC87B0yvTVljh5UaHc4uRQyYJfYUlCgtqx152qPG9eaA7DaZ2giNRBCKsGMrRn
5l3Qap15yUreOGHmeumz9+UPxICQI+ly66U5I12uSzHyjelDPX9hOT2cOUP1D03v5xelue6RFgrs
qaFcUs7e0rRgGeddhHl5Gt48fv6uoyQNh3Dmqb20bfHGtnY6G7OrPRXomj916N1kckrvOVom8aTV
Xn5nmVPUbdRkj0hibMYxYYetz75E/eTQ7W8gAOqIUjBon8fRmvvNAhr3XWQVJA4Dljrf0dp8sBOM
WT6novgsm37Gfep8V815pbCwxbhcFbyhzz9YBSz1Xoxj2m7RZjw290nVNvvUKLTXHiLUQ4XY+FPG
llu86CqELdLOSt6nZhpHO6kQh9sxhfPRZ1V268X6gjobOgYVizCjzhRdgvBN0/hO9XGi0KxVuGlV
stHTJf/kvSKusExujeO85ykw9oiOlr7cZ23MujEzqwKzWKPzBcnqsroTUNki32iE9lynmTkEy0Av
5xgvVFpPoZQRvjBYPhcZGWh4lA9G/SaM7f5GazJ+u0KzQ9/J4vA1dCasux6WZ7D7vKqRiOrnAf3u
rleJt8nrhPc9bcvuVs8LEO8T4gZESqu7H/S8vldQW/hvJhK3I8rv8o0nL3xM4tm5pB5mz8DiCccn
w57lQaSDvtMrPCaBOWZYJhcNEp7U45ikcZveOKx14ae4pfGxIMo9i8YDs6U7nXbttBOviJdnzUXT
Jl6h2qqTgz5F7gf1veYPxmD+LAzK/bNHJpfXF3fAhpVD9MPlPntw8sF7Thjp9iABBYdfb1xn1BFc
5bPN7knY+bJPcXgceNLW2b5w9CLB7LPuG6u08y4hMs95grrmBYsh+3STJHH3rvIMLS4vO/NXXnvF
z3BIzZMdiuhz6Q0sElG3eBdjMq9j7DjHecl5zH9PQv87NP6LoZHMK2P7fx3s9ZP4o/19YvzzB/4c
GF33D5MoPsQ0Aw3t94HRNYn/8z87LMhsE12HwfT/hvzlHyQ7JWMkAXuHxO1vA6P1Bz/Bwh6Am403
BOTJvzExut/d379PjAYnJrQA3bLJ+POv/LtAMTp5V3qFua9D3XpMI2th9orLExjPbjOm04BjuXiL
s2LCiOe6bwk7iQuPyKHhHjE01h7HpANv0cpe0jgmmzYuzpVOgDM8Qp4h/dHBgyXU0zrOi7EoMFcK
DsAl5MPMurFvymPmzTwW6XZ5If5c/WId3b/Ei4xKbqJGf+NIMd1qbgTytNNEYDVg+ngMGKeJefV+
6FRztrqyOnEZkQDPyv4YwUmdNrohzBfhLIZ1rtkyn9PcM4n4uFb5mCUszI9ZYomzlvKLAttKR5qS
HbRyrkXhEw4bWE22sM+OV43vIGV4qKcCQCxm9Tl5RqXUnjhmlLcDgMW/26zQlMw8RUplX2B8eRHL
bZ+2rurEeiLa2bCu8M+lkDZTyHsXwmHQVNvKIz3A+h23pGO2d6Km6sTH6TzfUXCT7kaaFa5K18pI
F2UDNnKsXsVwg9Vm+EVpmLgH3x3iDMKu8VHrtBRxIwy5InZibq5jnBlQGzS3qHch0W2sUfGY3XXL
POMKtavdMHPx90vOaGzwGY1Sg6wupt3Zx1TXo2XDqtbcFWgAB2OwWWpP5q+4zyW39djG7F7mVntI
RdYMfuVpgxtMvca7Gw+4Bn0Ifgm5wTSjJYPGKKb0etdJXT4g6cvdaJrt19znCbabDjfiwOXmR42e
/sbGxDkJVhtnO+6qO8edjSdlle0V9PGU5cusSUEtoZaK7TSMZeFnVhp1gUwd+zREznzIs8m7oWGr
3jZ2Vkb4XazihJYgKb3DfWhDo75buP+ecR6rre4M9jtTfP5YUFfwYGkW2PLKSLW7ZBFDTXmDrZHz
sCfvWnO8+KZ2NKxCoBT6K7t1zYvdSOOo6fAn8N9UmP27xShYJ/OSQiPMioMuvPQuiQZl+pk3TpdQ
dQ+FtoTvrIezk8gs603iMjhLMecHHp8GL1Ole9ctS3zNtyWuEh9iuV2x/VsNCJmXCpolqk4uO/3b
pOB2i3nsRmwSvul0BvXKY3vPYnHZuXO61VQiMFs073VdhFBGK0zZkDGfm9V/23rVSZsGsZNDyOJv
tm76jLoWadOe6PUx6TnrJYxZRw1GtyNdvO6gZYw92lVfME9/6AJTaOG0Dw22DS8hdhGagEu54WAI
x/+8WOqmaKKNxO1BlQVBXfT5XZU4Q4E/ZrWHoJdhFVGg8kpcsNi8E4R5v6+6Zc8iSfa+lQ4MTbSr
Kc1UHAhFbG489tQXF80cocAdn0rPKq+ERlMQpONqn1uAD+96J2QDQpkQ3pdFE7HyIzG57zRrZCUR
kl6MfFyj+EdWciZuOE2MaVtpS++dVlE93psDL46Px1tQtOAq/kh+yNb86tuUM5lqEBemOrC6ypXZ
F2rSAGwUQjsXX5uPRT/toedae220tK3FXeqot3IJRqVhZ4osnvdYfsInyUsbDD1oRFWDuMUcX+AT
jWm9g8cYNdsy7YcdEHsWMDAbH9y0Xd4ZOB3cyUQ2zqDWq6NJq9ltaLjhDlZ78qtOVNjj66OPBbed
Nu/UDLc/MQW7Tm4TfOHNcXirEaEOTQbCn/bQLDnMYQItlVofCoc6iS5HdB4YspccPEwmr4SVcEG1
MwD+EMBdUbPEzK1yfCAT274KSv1OsmhmeLWplPtuABjI69/dplheSS/V1vAZMVNuTTzuS2Sf9Syb
L9Ql5a+tEXXnKJoOw5KJB/bT2TFlTLyHkhndcBlbbshDFHu3LM3bprzUSX8sWK/dan2SbCgyGJ88
djE7uHsllWKTbI5LVotrrSu1+mzyabpRUFYvacwJz1To6SeI1G+h5/VvUmTZc5MM1RUvc3ZXZIv1
3tslPJmm1aY6aAA13kR0oV1iqptS34iWbpMOJHJxeXlBZ7vGVYy4umxUOBD99IZzPi8WYa7RbrAA
AD4XBEe5SPLWLSrLd/lSLA8h17UWrSTKXlxG9e1cg2FjD2CeJHdeh8FuqYPOSdMv+tWGoz4OvEkF
YGhCJPT1Devvlgg3tz3x9N06Xh4MvXZ+4GKc904YcfSxRJgDs8xLwpL6RJrMMmn9lF1UNb612jAU
j/u6bSAK6w6tUpm6Z3JbNS/2p3uXYpejt8wRzYRxHSRkbF9EOSxPveUalwXEVebrEoNobYUNnpMY
fTXSzK9u1rKNRpXbJzXP2F4xuddPkz5Sl2dx9SCo1rTyMtUuNg4GbTIdnK0wGEjelAkfY6wh5Lqi
G7PuINOHrDDhWyp6jKCFwkyks8gU2zliIJGWS0pFNcnyWBHeN/ypojpRwyTzDDVyfJpS/atFYlr2
SdjBzo9y80Z6XfQT1GW0K50Y/8nMVdknpYVhxlIkTyETGM9pK9Wj5Kj5CCeZcOjC58ORm2ngVRGi
6ieJePCTuqUsIDiUE8VNgL8Dr3yLU8NwDm3amDd9U0Oh5BCdIgCZeDrS01Lb46sXRp+wdg98tdwz
QB/cO/RM+rTlHMpGf9AW3ueZXMeJGPc1w3kD16DByzuo5Vim9WzQE8KX5ICSY59JUzgPY5mFwFAH
gyyZ1x/dOOXSQWKr+6TT65qqTN6o2WiP2HPsfZPyMIUkLdINtSf5prQNdRfBT+G+p/FoxV2xq3mm
PFVzRcU1GYfApeXuFq/t9JRRmYBZ0rP9LC8xPXe5tZWVLR7dSW4nIlp+qxnuHQnm4prsA/c9BOoX
fabhcKTWYNuOZf1FY022V/iitxHXrQN9Id6rYxbzTag71RcLMhKM1C8x1tEp8dBaSXMYUvz3tdEd
aIuIL3HFYjYbY7K9JU0qE/6kX4iINBaG9g2RquRcCB73pGf0z7mcCZAkqWtQUjYSOfNnEAPnHH4u
7aRdNv0KQ01dFhS4hACroEPKaTlI1FR90l5m4O7tYMgDhd+rQiW3Ds2WO1oGvZ3s9Wy3pLK+GkJP
7MukLAI9tBy/6aYvHIOopXVzzdqkP+ha3W1mnYyT25OKQ83JLk2Pq3Ee1IVLJ7gnr7TwQhj5Iaw5
1tGvrV1tZnsWtyQCwbPRolDr3o2Mom5XVP3asRcl8r6iOdAMmlrTd3EjzpyJlEcYpH4ei4ZzlSzn
BDRDUwPbYnKSy1lSsrIz6T68d7XZ1N4owXDlaSSDvqfQlJpqVurWLy5ZFekQs9CfeUg1+0mhtkr0
MBLkeHMayloy72scXF3fkYld3jtrVA9ebktk/2G50jpxRY+2fc9lcj6l6CX4aLvs0rWJx22OthMC
UilCI8HtLvRVa5uPaHLRgYrDjiulF25Un55Nu3auORH6rd1ExcWJjJGag8hMXmt+4mIUAgWEe+Zy
3fbunPm1Bic552b9UGFNuPB9tQfuXrhe2mYe7zKcKYqsjeNeWUJnY1Q75WKAeLe0DcU2eruZ9DJ/
WHTHoIQdfPVbiS/4Ynbr4kUnH31tkkvBk01y2+eyWsBaiJyKJEBvOwGuuNDx4UcnS5A1LfufaNHQ
NbOwjl+I/uvntq5xjMaaJVjtcMXAbnPEvV5cj/C8Vw9scWWMjryD5WCZXMDI0AVpURZfdCbon9Eq
zzpeJt+GmHyI63rAvB0nyaqAQrMsRjSG8wo8H3gTjOqp3Iiq1pttuCj3kba3GPE5Q5iZXCmxZa3V
ho0Ni8Ejh1PVLfg0XPAo0WG759T6gO7YY6CFKx+7VrzPXaDDU0JyyYhujcb+1ehjdAjLShwnCAZB
Vogj67iDZSfXC/ZYf3TqYpOnUf+gqZaSR408fmjnWNo1auhyK9sDTjhyTygOvBBLQJNEWXE35C85
OXb5S5t5SZJIHAxn1ZwzLtyMyGtPoweboIpfvBY3IAzcx37F0pFlfiJcjhDbjmrXpj2ECoOmWYWk
bZBSKjRxMBN65RhGPkWI+mindImQ5VlQxH2pRe99hV9MYzSzO6Dc/SCdzYLfH5GblZ0kRL4tFOKf
jaMFJwiLF7McARdYA3/nWHaB4ynSH3m7o6uJ8qjpoxgJJg/xgTKWeEOo7GYZZHarzKIi+qgtV3z3
SECgUW549Oi+UnNL5TEkwFNKi999WLvZ3qLxIogaKnUbbWAFZSUUr4m6NHdL0WVcSsVMmgkR647C
BT0M8J/MZiC8AciHzPv24sxDmhAv5PV1ybXvMyJCeEit8WAJGT4PujG8dqQg0iCO8zXnBbDhPHVr
xchCOOQu19KC/pOo9p4RoKeP3ozCcweim1VdiIVXZfZrpOoh2vZUCWH6XBhwTpqp47SvI6gtjmnC
XQdA7PPg0F6wcOcPPcZm5YsWh9heZHl3YmHecwfFzcyRN9YvltU/mGwE9lrvPtIwaZ85YKhbS2r3
MOU0MNZQ9htHOVsKWWn37bwtIvj405jp6OJ2qrnX0WC6B2YsFgyxVpPPQpSDxA2LxcflOr7zzUqC
xK5ZRGMDR36DhDHRS4n7lBHOoJXllC4GmysXlcB3KVXaJkZbn6ndRmCgBFQ9R1QjvFW00O4TVuq0
mEgCYy4Xl5WNUOSTH6Zm9icN7X/Vt3+hvulU9LgGQ+V/J8E99ZC3P7L4o/z6XYj77Wf/UuP0PzR4
ZsCcVhFN+9bc/rJvILnRKwWRSJe6uzo0/tLiTB1fB9YmWHRU6qw2nv9n3nD/4P/A7QEeTVsNUP+W
e8ORf+fK6eiB0Gik5nCDxbL2d4NhOK+PNwc+QGoX+Z51EQ3VsDvEngYk+6OjtO5On1k9NXWmBVG2
UB6vZTO1LqZFE5+ypbrQEpCQBGMtFLLuBoz/xMZ9U47jEkiZ2ZvYaXCc9vX4GSdDf2Slw7Yw7SmE
D7ylBJo5uvZyFNDtssCViXbP+swkY98wifEB93PwFIe0HPgrnIEeu9QhpkO/DkWudfszasc5oPuH
eKdXrIq+p7s0WaN4EWXQt/NaDSbkQOWhAVbT6otk2/Wpi4BGSMqDCxHggxb7ODW9r3QVxn27mUEC
dKG1r+ZBe0B5T26y2iGLhAy/KUxSCT67UCoodJq3KXXuIAdLhkE6UavEj432Axgaf6iKcnJGLqZn
H4EwU0FsjfSQ2QPXVh5X1EnV1e3oWvUndRTNtZXh91icdxwbV9SAoVVCUV/m/DKO8rzY8x3BVboJ
reFWltmV4J3bUHra442ksd6J2iM57qnfVcLJcxIRRX1Vu9ymiEWFzmNv476FYQRbZ0MF551Rpefv
lrnaLawNdX3sxN3KHXZxMXuU2XvEkMg1GdUHVoqZMsoWBSmdeIwubn27EButWBUI5zG30uZEPqM7
TA6ubKSMHLwVR/dmxmSv+fRvE0AoJnkYu0Ye8mgYn+hqhpNTc6axzllG+E1Cv2jSFceKnc+Pjl75
gPY/g1oNNkz+UCr5onLHoEkdVA1XEFwrDq/INuTK+JU4ijoIPpWEIipZguvHjaRVdvnOVte5kRWB
gFzX0s+2rt64vMk3cIlyL4syu6fYeLzlCeQ8V2BH/Jo95qVMGnlJcyrtG92JN6ipl5C6nwtsCXqj
GlMcPKoUsARaxh1EGrLpU1IQeLEyPtF21rHTCYdrt4yzK2rjqP7LM2OilqTQLzMzDoVCeiqfe/oZ
jYDIAN2TTTI/UH84HQvV6bcGRnBrG9n1+IFPTJEdJfpGkWO6H7Olf1dFqC4hNSgHXGPmY6eRCPJd
VakbU6Tte04/BHW7KZTKACSC3Vx73M55PqhCtBtLx5SOdUhsM1O53Njgix9En037chH8mtJ21O3o
OAUYZ9GyZxK8FfBzZAx4FjyxX45mdV6iognMbixOMjXCrUg094bjAgBglhjJNUBMz3cXK79V/dJf
RsfTbpnK3ck3pA0gbanQRLK+Q2xr9OoH5svoRiPnk/sGzWy7sW26bTJJwuqmLpk0QNwOAXzpSueX
lumNsZjlVYiKdNu1atj24VRu+1zPNyADpoOUSoLEFaq+c2sV3qDbERYtqAEc634ivkkMb0eZIgtq
z8mTi5GGBlgnNnp63E1nDSbyXmMNcEHPUcgtefFu17mCA0MjlRkY81NNN5sX2FynHvW2MD51g2RC
qBoPE0rTPthlPW0SCzdZkoMfkonOd2tWRXZNhYu6cwd9uiOyT4uQC4A5qEmw0pnrbHXZH0SjtQcJ
2opLY6gdvMweT70UzS0dg8UtHn77uREghunMq34qs46ArkyVcQgXVzzIeTBuGGrtZ6othB3oYHnP
PbkFP6G15WwTOduQ0TF/McS7m0pX9TOar74R9dQ+JzGKUmZmSKk5iZatqc/OLoUQuIeIQCV9F6tg
XFC+EXLTEQ3AiB4sWYQ7PE09BW6umpkwSvMSFcmynwvQJq7Xu1uyLQvwk1Q/pu3gvZZrLwBNr8N9
47XhLf9IjVivQNMpvUCopOq+N8rm2nC64ZpNUfmJKDvuLN0o3g2KAd89tyhuB2fEyj+RtJuWDMRW
6vRbRmjTCVyBPg4DCAh9UxRWYLPDPJHpGU71aDUbNbjt0YJScls3UxWkWfLDaCeXTFx3qmP24ZKn
WhFW77W5NHS5DfI+ws0WFfTVurGMHps0H3+WnaY2TmtOpDXZLRGaZf7fAj8qSPWDpY7JNyi1E7Pp
RNjozPpSSwHEwdJSPPJVBCyTeHWoGeXBTvEPFvjFLPMVtfNkD4m40qvxULAo9mUSXU2ibQnmwVCa
McuRFG0OtKu0tNfqMOSnHPUNGFfCXML2Lj9lZg/fh/ek8OMU6jPtwAPhvT6l+AlHPP8telRu24lK
wbht3/GJcjIDUGoCl55ibtmarR5adjabAXfR1miUDdevGO9N0dLUCcHBO0x6PW8LLrnIR5Pnq/Qe
TYTPTTF0t1rH86wGk3UIPaP+hOFTnKaal6fkM/9YALfmE1tbV3FXmxv6GuqN3pXzWaebsjeX5eCM
07Ivwdy+6hPoMx5aCCgf8SS7gyrWeHApDsj1WEwonbSr8IgxtiK0Isz7zs6Gk5VW2oM1j0j7CE/T
TSxLghwAZwfyYgzEG5o39B0bL+pxyfT/mkLwh7pRtc98P5qLdOvhYAK64TEzVF9FX4wHwmbUnhr1
8tHGdubDSrqF6Nr6OeIr/MUifOANKHhNDbLWTda6Hy6Frlura+Jr6mVQv/KZgqFu0ve1tlS3EEm1
S5ckxasatXE7Uq6iBZoYR9rfjLRjDKVjlcNJ834VNA0HoRDeTmWZhRiCU2+FBqpkq7ulY+2dMomP
JTSte0khdrKNJ8atcpoGLRAdntu98MrqnvtFUl7lEQyAjShyHAkcA0F8BP+wuBtwAyllPtPUnpTX
5nc4EJOfBScOHBBrdQNNVN10ppM8gURNtynX3cDNdP2xk2O+m4xy6flnaR4Kdjc7MzUkufNEIxtN
7KNxjeSgFYmxHaSq7zulbqAR4DVDdpja7ghKqNoMEztEVwNOSP+MHiCpRkGLMPalkmn6pWqKEwg5
vUschhBpKI22raiifihyUPGH/rAgT8OhNNVFmi1NPbU2nlfe2aYKZxnILi6Ylnk8ddpgnqhafWQv
XJw7Q2VbYxDuJsQAsolZF1IC2EXw2OxyF7M1PadAMm5oCqLakiruB7J9iHO27mAFK50rh6K4Lxp2
zR3f0QjOyWLyNgzFY2JXzlViutGtVsTTviMbCxaiAFUR5/CCZASYreTRGaQGHXi21UM3NkbGQDpr
UQQZUI8tm4VPPR0n8qV1eFskLVB2VZG544giHJzalKUnAEPy0NxGDSbUMDeHhO0QJd9xAp9riyGD
Omw4p1VgJEpu41CDdNDDcuN2pQS2mMo6S7cdt3oLaqmguvQBnArlDLVmXw2Q0g6s6LI9vGL9uW8h
Y6CLmgcy2+qY5GF1K1VOGH5g4417hy6kV5ChBGxUVt9rptlvJiOJbvCOIWjLhdiBhHnGuekyHSSO
AdjBzU6JXrgHGfYDR0td/nLLDOmps/OnMSuLPQl6DTlCQvTNLPvoNbO1k2moHcux1mE9hB6Pmrkk
B7hk5iaBpn/ptP7O1jqyc7V2ybBsEZRpXyjE2GAijq/HWZCTVKiEgFWfWFlQKOy27SapGFpqR3ZB
jfXwVNtxv23DEl8S/FsYSF2FzW0oyOLzwQApV/S5utcym+S0tdibmeg8/wWTJL4OGPu3yfL2T2/E
//mtGMGw/rE+RFp/n9P+FkQRrruk9JPGh0kNMDRMGw1tpKdq8txkZ9gQEQG0iScquKdHlFLvFVdg
fWNQnXtGg2/eCA+nW2vkgk/hpxHt2THVj5PpETa3BYw6mSUb2tHEbYkQHX8XBiMA8Q5ogWdxlRCh
kbySGRKCS005BiHNQft6lNbWKrOz6ybiB/JktDHhUN6INO8OBauRoen0I2FfkHKNp78awyDPvW73
QYr1aUOyhy9tZtvXFmX0u9ymNXYDDXY5UqMn37mpR3u8talP8/lHNdq3Qz88WNxQ/Bk/38bzjHlj
L/F8Nw7lJUyy5ZKM5KCw4OPq0/TWwxQ8xrGzyye2GL4WtfaX0TeEm4UV9WtRK5fC7Sj06oUdOkJa
nbgZR2zsjBc8ZvMRxC1Upj4ynLuq6sabPxuxsWeFVyAejJ/2oCVfdbiMOHWF3OJ8M+4rECbwR4Ey
LqFjattqHp0zC2JxsA0gG126VPQguUOybOdKm36O3fTaYdralRTN76y2yHc2PtAduWXNd2rb9E2q
c69CZcNfg6fTS38ApeQP1dhtcdAlN0tW8oSOS4M+78KB3tNi0DCpzLnni+4dJ29SR6OyxuOybqz1
ZO5+1XHPVZBOvIkopLJFMHBfWNPlJQBcVxcVPXjcs8fvK3f+ff3G8CzOPIW5lKc1vF9eSGOnMctT
F67i+MZcb/Lm96Uei61+ogaTmz68/onzgfu/olTs4q0zQbZOB/k6J2AYN7AZsrO6oYpDZx/gdY/F
OmCshbd4UbmZcRitI4j5PY3g1S2ei3VEKb6nlXAdXFSLTaVwlBG41NST8B4asaX2qfO975EHFi7j
jy7bsj70jZwCfBI6Vh7b285WTUawzfjgequ/N7J1+VGXLAkBapQ+qKf+1pradD/ToYG1cp23lmZ5
qFETN7mo7wWsu0MteMFMnDT3xaBbQZVwU2ZbMAFe5ip8klPZnMeYIc2CRcK2NcUgSEmPDsuB9yGI
I01/Qea2AxY45q3nKvnc8B7MvraOjJTuTUH2PUdma7l5nPUoBQyZuEuodfuePJ3vKdRbB9JaZ5XT
rEPqsI6rg+5EF7ZEl3odZSl/521fx1v+yHXQZeRt1+E3X8dgZx2I3XU0tkXkvpVW8zZ1SNjOOkAP
6yi9rEM1TZjl3v2etJd16I7X8dtbB/H5eyYHd2mC4WVQH9eRvV+H92kd45FWmejbdbhnXyZ+LOvA
n3JIFyGbmH7EM+sP38oABbbj07DKBfYqHBj94P0LIr+1msx+N6HppPo8imaIt5KqwtzG//9bvLFj
h8+Q0Ij93LvWqcySY49bdgtPz9saBvd0Uk/2rWb1VKPoXmIEdjLAwSEm+AaPAZIS4KToa2ZVfipy
az4LV+9uXdS8Vy4G0DDc+gIbudsOmreAdTXVfUukemCtXme8p6lJe7Gcs4PWM3T6YQ9GYONEguZB
l33ztp/5q1groPqjCZPuWIYc8ZjKcohG60GWfZ9p6ff5tnyfddb3uYfhirLn9TD87x9B/9SM8ecT
iMv0GgYmi/a3PKjX4vfB3ODuC18+LK/ma/MhXpt7dd3dYcMub0T+L+oFrPUt+Ie3yDR1zaKQiF09
R6X8229UCCyF0yfhfoSb+glNM+mDlhaM62xKFiPgJl2f27npnYD6n/hTt5d+i0Eg+7XoJFB8KJHh
DgcWGUiDVeS0XUKTZ7hR1VKDLBaKl66vnUcHbHbmA35TOgsW6WbbPpvbw9RUDdmgdUNULtORmwzn
E3KK70j3fpgWdz9y/URsKNIdkOxmBz2iOa84hXdHpeGxU2F+xEbl7vs5F0/EBdrLwB72Li6oATZg
iS/nkQvxQ0wH6Yel4L1tcjWpTTol7bMVmev5VRj5y/fb+D8m6a+/6MdvhVt//eL/n8VYEp813+Lf
Ps7/FLHcV/8Qr/zPn/hToZf4Wz3HXnVwj+SI5/BB/EuhN/9wqD/gS802ACjG2o3zl0avU47DwUGK
UhpEbdgs/adGr1v0ZdGZo2kmcprnUGrwb/hl15vd79+C9Q/THPLXRJ2kjlr/jweVIeEC2blSW4gy
FQT9eNmFaW8Euo43WxTp9C/umqvi/8+/j1+IO1fj9fjbwZhH7KAJTqrtYnWkh63o17jUKfoV6Zvf
3oPbP/+d/3CrNVeCwN9+l+1qfMFIyiNdrQuX3w9hklSAfIiNbEmqZogsto0HKoqRigyjvsrCaLwa
cLHvc26bm6hpvS8nr9BrS+h2hWcNTNuCeI02U1pLvrEjCp55Ufti5alUGG8d+9pxIv00aEb3OSu+
9EGnS1bnKRcLLE4LwFZQUNVPEaIOOMy0j1RSIzdRi9Xo595qtdskN7qIROASbnoctD85givifwpz
l9vBxxwmEf+Ewsm2uZQk5MJ8ufUaqADAGLnAsk7FSITh7i6FaH9uqFQaDw1l3VQbxyAv/YEG3hfX
XWMHRtwQjUyiXGIkRKeG6sITYV8vJsVa1KCLhkyVigDm/Ad1Z7YcN5Jt2S/CNQAOx/AaczCCQQYn
kXqBSaLkmOGOGfj6XpHd95oqszrT6qXN+qUsM0sUAwjA3c85e6/tNZiqsIQ1v4ipJoW79Y+B4nlw
ht7dWkF1rmb/pSIkScOAFHB1lLWcUldWjxjXz1Pi0p2IySRQqX63SgBKoe1eM2+p9pUMzvNEfGwa
0SAxuqHRG1nNme5ssmYszNEfFCf99KigleDTo0oRym4dqGx3HHre06hH0Dd5pC2blIFNQErRNASX
jtMKCbscdxL88gKN2Fay1Q4xwRe5YsjUsIu41tNshg2nsHblO1OyZ/7lbQAfHumvIabTgl/fNOQO
OOpXlaXRSvYZ/wDvNKA2PrQF56mhuM0AkhZHrscvd/3S3gyhfR17CFg9ao21Q2AWSKD7siI2zvXV
9zHmUXfaItzQSNmno32t82YT3u5oLpJogyrtuXNAuJPI/EmY+dnJA/IBsoIshHJv6wkZ6aj0mur4
iiAVT1PpfGZ+uRO5bdZl3+2Fnf0iVinf5nHzLvkXsCgXIbJfCB7PZafuFGJkypX4FhxtnhWEF0sS
2zAPpyTO6YxZ56Ro0q2OSGoOp9CFShUbo86Z8EZ7k0HweTCdvKRW/V5BnMSgRP6xGIsTGQc//R4I
DicGf5eXfHkcq6dVpCKq5m6Mtj1ITeTTpDaneJlWvRde3DlRFxFP37HtfpkogLZIt9ACC+Tofmy9
xEKdgaTZa6b7MaDoG/88qEHCxtVq8hUiprze+437ntsRFxCTlBzz64ox/R6jUQVjT7fQFwGDu3oF
yXJYg8HOVhzirSOF9sDQhSB6vli2yzla03uZV1ZRtKu45EVFFLO8dFY7rOI2eBltrrQKyvNQ8T14
tkbyVtfb/7f75u/b5v9PqZO3rdK9IST+716UfZ8xCO9+H4L/z0/9zwbrBTAHPDZTgVH/Fkr8vzdY
P/wv0AE2As7/s8NyxvtvQ4r3X2y7kvF3wF7E2Jwf+m+Cgf1fjMxFyMkdLs0tlPI/2WBvx8jfNyE2
uQCrvxPB92CnD/6EuYncdPBbNoJtJ1njYNjP85cEJdA/HGf/vI/bEeEenJ39KPBdrutPv6ZFg5mN
qvK3PuaKr4NthbdADoULvMuHvSKdfP/bt/Bvtlfntnv+64WRAEYAX2jbcB6cG4Xi9901IuAdqRn4
18CZGOnqktEE8TZU/LwuotqU+KKfwx7QVRdzph3tiBB3fuprNQtnb5sou2v9RNw5hrQkmOXZXTQX
4z0h9svZmXJ9/w+f988nj9sdup20pJTkCv7lvJ+hjp7HCe9GHtfl58jEfE1Hlv/NoyraZBaryKgC
YiXSsP5s0M5/9lM4vs0q03vZ194vhWrptaqn7o4I6vrX338896/PCR/vZp9yPCF4Jnkef7+dJGbb
OsM4tO0dxhfp4rDO0+cVm6Adk9OMEpxcT0fXJ9I90CdYNiZFhcifzxweaMsHX9xZlQ8zBB3H0Uc7
sa6TciQcVcSNOCzMkH+At6KwALz4WNRu/b1XDma92einv7+Wv5RWt1uN9g7mPmlqSEn+dPAK04Vg
eWrtre6L5DzjLFmP0+SqDVrp5G5s0j5fl8KWW6tux0+iPOqYMUyFa7QqCR2daARee+zWH743EBPh
ONW5zC35PqFTbVt5HzQoI6ogHdZBYamHSvTDsasTmjkq+9AS+GMay/dIduICYn9dVfMDwsPhoGfw
GwB8/QtgCHMmUp7i2cVXTDMmdZg1ljC+EfIF254CGfXpKO5pViefoY8KcuX0Qp+kbzAvZCWK7oTV
6NSUsP3hultRt6mXKXv/+3v5l0Ms95K+j/RwxglHoPH51+dCB4jjZDvLrROLEq5OXu3qbLTPoUuq
mXB+Wdk4PfRzOrXrkmNneYDBMf5CE9N897Tp7o0agTyCNwiOI07mDdPe0V9VVeDQdRX6sU7q9jBg
t5mIzCnnz6gfHWwLcX2Kisl6p9+jzhr9B1NFDUVuVvZ0DvM+23W9b//Dg/MXuNAfFwtT6AaE4sj+
x///W9tEhzZN39tL0OZmuCjaPCRWAUk6apb1R2v2o52BGAPVrliujQnBOmiJMsgL0RmA/ghfcXvN
PxFs2/9h9CGfLKRg+UNl5dsc7f/1ayBfphwKORJ/g4VqzYn5VzLMR48O4SaYhn8okv7NWkBBhkKL
Gi9kEHZr1/92G2r2B7gjndxCvwrebfTrt7c4e/j7R+vfLIj/8lv+9JYW5Jr4LU1xxvJp+hP4V32e
+wq/tEfy6e7vf9efmy2320fPK7rtqAAe3D/dPh7JTGu6kNtKCvckrHL5XHzjn71G2E9g0Fl2aZHg
UBK2XT0SjtRs/v4D/JtbGnkB7R4KT+nxj3+6pdaIaSyRclt0wfDmjAZfWLwE/7ALu7e/5vdNUdKD
C20pAXPTxgv/EMT99s25LLnhXGT+dpDNk0bEwMlz3sOov06kiUfpw1SJtZjGz4ncsj4prIfFKWJU
SnUIsYRoi6jvMZrBLLj6WID2gUK7LKen1tXkbM5gEDQF3Mruwdp7SEABJCwNrXbzE9X/fxieKGkz
3HwsjIei27nqRqH77VoA6SCM8Ztga9h2gPGhJPBneNngOK1/+Hb+ctsiFIJsfOjRsQjL8E+PR7LE
LoklFGwoBKHZz5hCAnsZTqqpip3AUXngVv9Tk5aj4G3x/P3r8m20iQHHJVZWElr//HWNyN3dEhzB
FqTJC/VsvRWKFM8onsZ3YerSXzlT+0RS3BFe5gdIzmwXwAf8lkEBwbafnDj70GgNSZaL/cdWa3vD
4nYLGNf7oiPVr43Tj9htP2rQkSk15AorEpSOEkyVKToMeeN0ZITKmCJo7cfIJ6bJlBiDUyokRmkF
6EEbuWDjxPI+rPHaq8Y+a9cqdgG9mlUUw7kQuryS0xWtbqE0vEBPRGOvWfSPuRc+q6juHxb/m6eX
z8pe2odqKYEoSaneWxJ4HiyDJAoND/NdaG0r5mPlCsArTZHUr8h4NUX2MeNI2Uz0m5N1NLXDp1tE
zd5LPPgmZSe8jyl1w11kly9aD49NuO+5zjRTzo+YqfpWxiVVvKXKr6ArUnROhWx2gF5zELWRRgMt
S1RPTXnxTJY/OpMf4/vITIe0x2PPbXr3ZyuY2pZokncpCA8k6/kYryMHtvcywmrZxOxSX7HhjNuU
5k21yua1ZhCOIrredOaGKa36nvCZxSTzqRGJd42TwWA6w0PAEI2cn0OdVMseWNIBMWOPWmCevE03
u9GveURhP/YvdFp+Zpwu31IXv7YAQbaNwuFLmZg78tzaXUsT5j6mkfBmskxch7yR6At1XfJ3Fbdu
6xKtImGuZbS8TQoDBJ108od00+AwVrBHiSmj1Wx1wwNhlrgtl0I+YqSEl9vytfVNCDMjTtQveCwR
+Ne4Pdgm1FfaCs57RVrPlzEVe4x/NUH0NKAe67rUVyTpNFsmvEYwZVwzMyEc5tdCLd1VxHP/qt0s
WhurmV+sJNZ7OKP5xdJGHZapsZ5yDloXVD3JOrNdhJ2mJDl28fUFwGC/zWF0binnnW9W7DTH2q/l
xW3AFCV8e4clIycw6YvvzRDM37PbFQLvsfYI1h9t5e2X+oWW6Y0POD+YeL6PraCF/ZmNx9rJ6x9x
7CQvoD9Jjkd2wAEcShUePOfOQj226ToDsCSCpo1yUl4DMyYQg+plY+vZAZveMOm322lnQTa5K3UD
cFuGPxMjPyoQyFj4nZqkhcZNpy8I3WvMWCPYnhn4biLo7feMTI/04IiFatSXRrdfNMEiGXwAp2FS
4HRvKsz9Q0kCyT4Ckk4mDvpcKp/23JRMmQl+8A9Zo8nfs0K1lYIPRRe2evOayrpP+VQbjGn84bx6
YoWdDqY049HphL/lT6k9Xdlz3A4/hVSnop7w4mSRX60qW0zrLE34A5ZKngem89thGqwdQTIoJFtN
o6y2wmfRz9/bUNZPRTP6DxLhA40NXJ2eSIdjUcrHRdvi2icl34nb1xXSlBFlk9OOvFRdskuikVCy
SOAxqPU5YApEa4YgIDXTyiOEKHntoGnx30jasG3DBdamXc+S1VF67cwGYZA5O0n2re2r/jxAcLnQ
4Cyucq5HjL9WubWA8m0S9MvEpX2YBDSb8rNq41mMoToby/AQDZuJ/vPlJvojjmJyf4gx6yEsmWxj
osTepLkyj65VQh6LKe2AuJbem4gNbDsIBmS8AbpygvzB6uz+ScVowEiF6EWLnzZ7iYmj4Ip1fhX2
5KyLOXU/7WUqnvSQcdIPR/wsWesGDBQXYp7obT00LumalU6Wg5nEswP3X1aeC+EpHsCp9Shcdb+N
Gvd7NZhTQgwFzqDvhEsiqKoGbz9qZPCNZT/XdE3bZBruKwlrbuwhM6wktrr3bikdAlWIOvqqKM8G
Ik1L8sgycvRWemmQNhAJ4JaE77S5uvQLiaudy1gpGQXzqqBG3mSZpl8jY6wsrD+Vt/PBL+Eciu84
dpDgnmX5qRbW8Ii03OyQs5A9S7DMnfTb+snzzTXJnRkVd2R9S72m/rY0dr534gA+BNAGDCpeek7j
RrzzqelSo6GGjpEWe/Auyz7xdfItAhd8Z27kJvTg7VPjzij2YcodhrQncLPLKAdhlm5w7pZHLSCh
ubNEINLk9j0Zhf2uMyze5PlcG+dXntBHIOV0bl/CLiBPzkn0o4so6MlXeXjCBj2fggXpKSazeesV
XfylWqL5vS/oAUdu4TxNyhh6zh57YeJmew8h49fbEI3oz9bsBhMGt7xOG+IO5IBMKLbbBCs2IRqb
KRfqkc5Ohyyqr8+jmuWpG1p5jkUv0ToN9osLO+FapJ04IiYLz16k0FBFmbofSDHZ2m00XEyQferS
ZC9QOOx1iunzwCO6NX37PSwlUOiC8+IKVBarS5QkDjQ0zbl/Cfz52IKxRBV5p/sHeWNot371MBaY
fBQd4Q75rY82ug+De2H8+qlbUvkpU1O+Bzckq2V5b3PsyU2dkFIDu2nYy3EAQI9kOtszFwVV5fnl
XZeTZRwJr9l5gXWTOGXAJ8AgPFsSpz8H0yIadsACk6Mhw2Nnz9iLC8fUm8UrefDjrrH0ZkIqeMzU
gK03tL+EXhc8hvz8iuGFda2irLhfUvPptxgm7LxBGgjGoHqumv5iIfgKWu9XFTZ32D/Uo8wjfzPN
A3z1McmOg+A+K6iBZJ7N44p21H2r9HYgBI2DWrwDFj6SBeHMfyhtoofRifqHrmvVKyWm72DAZLAK
TwGKetAOzcUTUfwWNIHzVJadfaPv6zuBW/9+mqb2s4VJUK4GkyQvY8WHsWxP/hSTHZHHB0EmT9Ns
6yb8nBOH1qYhKsBZpRz6drG8TdxZF+ZvROMG53JoSc5TokYKGwXVk66CCr1PNvxkCOv3qww9x0mB
1tq3BPQQHuOkziukE3j/QL4QT0v264H2D4MZP7b33qg9tsrexC+ednq+fAK/Vu1Yqv1shCw4Zxpf
E/5E4z5t3eKtltH0DqChUPS6Mc+RH0mffAvqPMHWW2fRJU/yYefm1rgRFEMAGGNLfijDFhTouPjw
3T7YR9IC05eTeLkaxzK6j0gF5MPbeJw5z5DqNWhSxXHQWMvDlN/Sh7um1Q96Ttr7bMie8A5/B5D6
pS89nB/J7N41KlaHvl/ee8DB63ZB6I/WqTn0Yqm3bklGSXjbbmwkApxum8XcWkQAj0vfbDSpe2dX
NBiEIYPvAtLv7kqmUYDBy3g6Dsm4i/EyZmURgRJp05WDP5F8i7nKTjAz9RsJeac+/iQJ6Skc3Zcm
HL45kPsRgn3FV/GeuB4qRZwtVzPY4aG1q2DtkaR+LoYw7zZFnZYb9OwI+2uSSC+kxzaQQEhBLwur
d2hFoWzLQlndR7Lpnq02zzcOtMOWCYTbX/IqVShEfSm/EQODNI2P0D+aWKprEU3P8VSKA87K6mNa
kB6smtFG8GoTkTxkcfeM9Nvs56nGfqp1cCCiSZGBw7b32fcA2jTR7aSOkrsSV0LveZNDgzK8xoCb
jYeBedZHVcP9ahzSmhHSYbNS0Z2ocn31cxouNw2K2QxtqglErdD/N6RdUKsMArYtVpG1T0jR52Sn
3Qx73U9/8TPVtgAJqTdABH02Vr9JvPWytNYdgWrZlvN/SwZtRMSOR6t127gRIxSSoeQq9etgh7E7
IIzFRttP5oVY43WydlUbhc9EFFAwBDQNX7HDQpHuAvtEi6LeNyHE6w61DsmK5CZ68XJFu7ceyJL4
7Gg67ibR2d94h93tLMb4kPfh8mgNNhGABDhwDIaJeBQYTe/thEjxlT0heCoSEz80HD62ZExhs3WK
et/H8F5Txu8nZPKvxWDfuWVbf196le7txCTPHqLX50UKpG26m69pyXLaAjO9ohq0vyayiJ5gx7v3
bmAzv8LR++O2FH4tVZ0892NJeiWHXGzUGWnl5OxGr6RHdS9Bjod503fpDxaW4pIM4/Q62nMKLy3I
651j2urrSLYN15Dkh0SFC1HPqbo4izLXgWDYOwAV4qgVcGJ0r+QcWK76kuo+hiWgkJ9ChDiNUPdP
JQe2LyXMYEiffVTsOfNoAEMDrNqwnEDKD6Dsb12G9IHO4PCWe3QGJzx0dzXhGxG8nrG94tkIaKcs
zXyoOK+d/KLzf46OcREnZlV6FTyqVxNmc5WsrNF1jzKgPk4KqslD3tCUXd0UYjswDtUhqcbsS9uW
zYfJPNvZCpvBwao2i42lWI3Za4+6YuOGs7P1MBphMipLCptQlfbZJENysXy72jqy1iRCNPhHhKMp
A5PmkW0y2zUCsTJviVEQl8KZeIyqerVIN8dlHMqN0WTqLKbqLnkwXYM4DHj4B6LiNZdgrXSIcph/
9fz1yOy/2eZziAAgsgyzDiB68smC5LoJsKkx93Zzb23AYrw6nUPDFBGjwVyfmh+Eu03bYRncB4ew
EMp7DjyXGKTKN5nERKRKq2q2MfrVYV1XSHae0C50+8LALN5Yy9ybU+0RV9Ko+YkLpYWuG0SAI5aH
PZv6vJ8CvzzkwrLFWxnH7S9y8wpKazqH1Z2L1gmXV0/wzCkC/eyiH3WCeQOUuIG0i8DberCl34Un
fDmk+0xSvvflVB6AKoinYhHRIbVSLOTlUHcQiHyTYdBbpA631Jlo2M1oWAqWhbydOE+jZEeuld50
9cDhNkArvcUQNbtn2nukIvupZFAV1tmykqPBd4/TgjTMqH2FlIrq0ILVM5qAOs0Kp1+LjpaSNrA3
3sHXLb9LR9/4OAVb5MwOq1CIDuJcBuXyxa289ldCH+jeXqT1yaWbjz4eW7kKY93dsRWyDPDdeNV2
7tFiXGSo5ktb+yForH5BFysH+0w3TLGekwpDgqQgv9rEtX5Ih8i+1IRXfqW0pFwMRhN+J8IQkyH6
1+qLAa9NHLAYT1mXhPjniRQyiER9/dHe9MgF4rF3Rkq8V0ORUuil9fMtUeccN1LlOysU3wviVcVI
6oHXkZOt6Wfus2G5y3MS02FQ4x/ARqee0jkoXqYeM6awtTqRzuw8oJIAvYoHqkHBi4d/N2ObAGlu
3K220gb/Eh6ULwJm1SFj+3rDzQFVKQwTn/Cd0WnvmiXLv9Ucl7YEvHcHXlUF06V3HnWbWcQ45x1R
ERMJ99a6m7q4Wk/THLcbGZDT4xFjdw9jjcKAavi7K80tzghxuDtMP1tn+Nm0UEkpAch8TJ2jcKDZ
hbXwdt7IEorqs39rtFJ3YaSjcwYO5OcQlEScYVOdL3S22BlKDtZw0d2gJ07eoQ3aEEiM08f6iccR
9z6ztV+tK8f2x+1XANbyxy56mhIvkVufnA8kCENKae8zzkT6KmZvpck4WnsxF1fPMSX48iYbYsPX
+TJ+TwETEMgQQjICCPo4JJ28B02KeBqMzwb6AmF4EeTQ04CP+NiMXrfi7fiw+Vt8YoyRlVCY5PgL
5qm4LRFkWs+Qrnr6cGoP7xxIWjiCEw3Ee8ul34Vswyv6i92RGRfRuFUp3tid1h5S74VohVleLGca
15xloMkUebgxznKfwIg/RVBeoHob/TmjRN/C08NNoql1LfJ+18KMCGKRwQRko/W8B5Yjjy1HWrWC
keKOq+6mOiR6bkJQsVj72m6hADUA2VaqdzUZKVa1s70mONaBq2yk58p51micf9DKyKLNmIWAAnFC
HRenfSrjJnl0XPqCkdViXPN7cR/H/brLeA5J1sabFob1fOAbRxAOyZChK4LkVZ9Ep3qI3kdLBG9g
WH08dY1eAxV2aM2WE0L8Xt0R7iXuw6EneIrjyvvg+NmpBLu25nCgt+40jOt0AMnuRdF4P+H+8Ogl
WPM2EgnTuor66hrMVMUAGIZTE0TpD9UsbMBFDOdZMkbLU1W9Yi3MX5TqlyfLUsEb8/qakiiNS7IL
e4JTQ2XX68LPHIGcpwvfwlvgi9CF+0wUc0Q9m8Ku8Dp9dBas21qQNtqMTba+gZyqNZFwwEi8WwTx
yFlyzzYN0CZFX7QGcRYnmyjBeeaj6//KMgp2zLdIy9hF9cjRngCa7sgUOlzWc2t0uYMk3z91kJIP
Bcd7Emdoj4yUXRhjVpEcrWtazNnF1HV8Fxq8RUndFJtxlP558kiVHXOn2oXm5hHCKHA/tYW/aeJM
P8LzfiSGVbxikltVjfs1rf1vUQEtCefRlK448RnIH4A7NlXjr9Gg3vt9LA9KJfYTUXOAfEhkvyPZ
vbhP2/ylSiKc6cWQ/DLERjwHjee99IQ3HsF+LVvLDM+ExGHRiv3xCTiRfegLmV8mdlJsLRXe4Kx/
iq1FPftLWe7bDqmRW9JlpqEr7sfKg/Dj626Hi6ZaMQz5wIZpn2xVWPspLo9D0QT7HuTHBtrxr45q
5XOGgyO0Na37uW/Wk0QYN9xIwakuj7ZbF1sDznBPYjy9oRjEDE+4UNtFLMkLNL7dwjxWwGQ8Osy6
tvbc/vDAnZ/UOIqHsO9gyzUkWWp8asTN0X8CfmL3uzq3LbPSnRtuXflgpKEU63JN5pZs+10GqATo
MaNlvbVNcQob1CLa2kZZdRkIFv4gt+CzDy21763JOc4VQMMuLPxrbzfruvXP7oLBV1Pf1Z3yTo0h
x4kDL7ODcl8n2bW2pP0dTPPI0kQ57I7lRDt/mE80wF7zCNCHtoM1gwfcXHAs1dDrI97/k6oyj1pi
Kj6R1kNiEM3XZVFnx6GqWKm0rtXKcRVOe022owwsudOSEmiR6TFw55YAp8iUJCpVTLI4egSEbk35
ulkokP1iDiAQymobOmVGk5JyQjrR9LUKIx8EFGG6ovYp2rGYYqlpNzYuxAHal/xel5X3TP4oCagq
cZNmNVqgGL056w4FQRxkNHh1cietNPf3wJ/kRzM4lvoW8x94PRtNGqiInBfhBZC+xoFuWz4P25z3
Fr638bdLGM7RjgEFrYwGfGlsefGz0QIQWB/V0T4I3WMksV2GcOOMxAC3wvY1zocBoMO3OIjZFYOM
R6pJnTp7sUgRZOToIPf7ptKYhdiBhbu2DXzTk48bPYJ+4cMLjaIsv0YqkOLIOBsJ4NwzH2FAm50L
CfJiyScSAIxLTxTx+qpX7Ic+htzbehpBWMub9Ckbh/y57zxWW9YNItMy8lhXIxQGdCCpH3xoGOTf
5tpF5x8AsG+8qC9XeDMJkqSuQ8M+FbsFqh+WndkBjiHZ7gER0I1I1UC1CAfKuoZW806jGN63OzaM
MLvgLvAlPXyoPEBvwCsuhIHYNbA+bR6wbRIwrr8ldtHwQccHyf6u6gqqgDq1WWc9e844kyWiKnWV
HEjueeKSj9hk2EQWsxpbZZ+DGQyenPqNml19KAaTMl2aMS5kxBGV0ddBDU/STO/IFScUgDHHjGwR
5jhBA1Kh6vaAV+tLJOBQ+w0PepnSbFSohBHZOP0Te3fFDpnTJcsKXW4pA6hUO8ub1KpYhvLnMshi
3XiiJRIWWyygwBV2R2omb7BRmfhMpXTUjgRtVt2r6vUCukHQpC7AJGQIGOwiv2+FRSTtFDgbGB40
Kdo6jt+pF0p7iyrNbIJcLMehFt3X1Mnact3483RautZW6wFkLAfflLGwIXnUKnvFkpcQm1XD2VPR
YbadfmNT6risP2V9sYtKPhuITBy06J+mNmQ56H0frbJuaXqsuDcj0X1ay2bjxtPyPgdUbeWaURad
DZyL6YPfYCMeHXFVi0P4eNuJ+Stxa/mh53R870Wd/z6bBZiUYazHkWiR6zqbQYxMhWUDbsKvSkJN
YEEqaVX8IGgN/aA2pQpZsviSDqqiUcH9405aSeBsY+ngzYybdNM2pHTO7nosHfvkRRbzgnbIX8uO
HNlejztZjm9dWxruoHplgLzXUHAOBbOkbb807dqeIYVtZCPpcWfWg1CMFFlX0teuDgg0CDWVycCD
hlLUbn5VS3rRJrhhqWZILA0ZWwVwq3xky6aRvyYBhg48URmJK4ZNi9KmX3muVrtoLl1qfNQw/gZk
2He3d6VG1KjHQ0n9+W5XEb1V3zPEpbjmE/yXjQ7K5QEZU6KIV6WJhudCOtiwCBjKDzl+OJprS3AO
krAkIt6HJAUqeYjWtgfEGL8TIt7KV9fE5JcuQP/dDjq9Y3LCyAGj4WFqoqLcNHZ/g2OW4/K0TGl1
QHg2tmTrhO4B/CNYxaruGSfAYn3PWBV/4PJxCBpz3GeiiQb6xJNOT3LxWMJkMDx2eGFXgxtTyNWu
dcJgpymZTO0dG/KCqrUvx/wyco65G+ZYdYzQILKS6jLN7Wopal72znY9WHjc8rXl9m95C+If32m4
JTqj2Y+hk3Gsc49+oNkGx0TuJe5xEor9zr2ngsMYi/kXM6QxyxX2Ypul1s8aBhiOZdi1+e3EOy5u
+oRer76IaOiRSRfZY7Ys/oFXSTxCElvevMQNtgDn5AY+d0W9J3Hvk8WNr7MGOZdlrFuVm5/ROXkc
ywbOzrEZT6y40xrKc7jrWaX3Pirs1Vw3t8mYiZ0vBe2GO0yd/UbnUYL9WPhPPTg20IG1/OHgTCYO
e6nZPPJsEqAPpLVKxltKetKPG3pIYmODwluRs9C9N2kinx2ez2uiHR4lJTr6Dkv9JJFqQfwi0JOd
B3IriywNqsE72hAS6abkc7oJc0nmUwmFv2/97ouJWetqWzDQJ1AkCMhazrji0uqTgchEcERaBV0L
+jL54aGj/ZAAXh9mF84c40RyYBEqrupMkLQYkEnl2srnThWgLSoxnxIrZMtRmGdpENcm/GaNuJ/D
+acaAnEvI/HIA0W3nm7Suiy67DGxnLLf9MQVUDl4STldooXRNei4se33NYtnsk6adjjwWBuOj4KW
6YiN9uhkqXoNjN3Ot41osDd1VMwTdLggQDJATkA1ONjJg7L54aoR70L1FAeiezBWSSSiPQVroDRD
swZXgnwmwfZ1VTSLnnm60i95pZ330RXgA4NWbZUl1S6u4+UB21axNsCkGaDOA2NnOD/vqC6713xx
aUyFJazwbHHCY9K4YIkgVvyMFMgDHdv5FufV/Gwio8/E2BJYRnD51g+a9q6abE09ag8u4xfnjyq5
X08CH6eVUX25qiju5Kxu3uYI6yJ7CECiIpx3rTcsFxot3XFJcutbrpT/JloO2hVF0qG1kpY+bJDs
pzRLd07nbwt36j8t/CLHdHRJhwhcgoLXiZOeYSlOjzyRBUdqr/mAV5j9IDCSXnqilucgcAf4ktQ7
Gus5YWGFtaFrDFqDAFuSteXwMkMO7dcMN0KQXUPXPjtT2WIdrY282CGZX93sAKyTFggdYt/Sg0kT
JuhLbj/OIsHyafmlc4icpNhqv0Oj4sDiCqIseIkH4V4SXXMQgVlz1xTuyPvMq6dVyxAzXIrXpCmR
kFhIqJa2vrdq6zWorJ8CaedLqS3zVPdevLPqKb2dapH/eylJ1lYzPMy9Cl5AbA1P0AZxtWfXkVbr
zgXL/Z7XfvsoHTG9W0QxbzOEKCdRp+EaD03/zrLy7ueFuJ+t2/ngxtsRuQczqmjtPabU8lFBRF3H
csg/ByikO0Oo3LopyVVyGRXcxQisDtSGKVwR7XYk+gQQB4qgNfuhCZePEgMSpPB5cX+UwuI81moy
ZwvOyacslWpT4RbD2VOVm9YHvK00oG2MPkgjKlD1g1D6WGqfvo/f7RsRAKQZ4xoKv+O8y6ioWWv5
VDia0tK50mxNT8MCiZaebcbfGky7Wtv5UfWFeNQBgKQSa9rGSqrwhJUQUWz1C8vHzp/YMwrgnHuO
0VFD6hbQkDhLyGqFvHgwPl1jP1QfWFg/USn9xDIdYrwKdmns7KYAiZoBBL3XhlxpP6+BkNxwsyA1
yhvzNJ+9Df7Fs2rUeSTBZOpZdqYl2EwFgyELUBxz42TLK7vuHW8zpIHzv9g7s93IsXQ7v4ofwEyQ
m+QmaRi+iFmKkBQKTSndECplivO4OW0+vT8qq7uryqfPcQM2DAPnrgutzJRCHPa//rW+dZUPNc3a
1gHH0Nozh/igKdhZuwSXV/QecAocJxZZPqWtdQG4JhLGYTab69x2QPHqk9OgfmtLshHirzwof0p3
ThfhR67nhGGy79M3j4btneFF6Q34uOwBmL58dEsmxmomIiSLytr/17kyOTeyut/CeI3ejTh2bhiB
TTARUbYvVaKevvyM/6eTlvuf1e178VP99z8lK//Hn/9T/frv6Gf1/zJoybxI8tfGovfPwyC379F7
/lck4t//3K84SOB+E4Kopefg7BPyK9nxKw4S2N8IiEictbZJoyRJkX/EQeS3QOALZa78lcXEP/q3
OIhLiIQyBF8Km7wD3+O/Egche/hnzyHuUHL2+OOJJYIw8sRfEpd0wglz0GlxpRNcC6X3znqbot0E
B1zsaNoH8x6DnlE8VXUmNzCHjH1jTvn75LjeTeorazUpf09hc7mK6/Fc2ugANLk9EWcGT8i6GSRC
4iVrDUh3JHjPZshlumNxuhnx4z8oXh3rNID65MfOazoocmXyBgABcrAL4YdCS9Ly4T0qA7ll7CYm
obIVy1Y6AUN/10LNYvvingpby3foY9DXs2CrKiGxsAXzDcz3gvcs+0O4RNAXIQ7BwBl3I8dUjH3+
jrkW5SDv2dUiDKSriWx6H7W8YYLxvomdA7/BHyOUn7EuTgXteVqJS1K4xwqldA2la91X4tO1kuka
0xo7hBZBbI8G8JDw2d6xpq12w2zULESSp8lk5jXGU+/yYQZdbZ9S4E3rxM5uUe/2DdY1YEHNje3i
u4V6VtAV133UQs+34bMKbAa0hn1y3CwGqTi/1Ub3LF0WJ01PYQApxMJp1rCSPjvezZuAXRM2/s3k
Y7HX6SNz3VVcF2LTemO0GTgymw7FY8acHgzd3xvCHbaRUtMTwA4XYnxBYkJAd0MC1jWWECA9kKQr
zF6QYi6xPZBvQzJhgQEYibT8Oq0K5w6ySbrKXdxwOkS+0BHTlt854TrHaXslIN8/sgm/2FnjxEgQ
Ts+OPNZUHWDlWinV1fvOSKO7Sd4EhftElrDbz6ksz2NrIPYPww1n4bs4neBFy5co17c58PZ110+s
J8idR2CW0OY44EYvYzS2xynZaldj7enVLeiqz6x8QNCqN1j7bc5oNaIGPYXbjl3eNHB4aEAqBSwC
mEAhWYvmVrOEydxxYRhgCPD9XdXoq0nRUFM8i7yecDMUxmaSy7+dXjW8J1s6wJ+okGCtrgd3NaFv
qYVaQijCH609GN1V6VrvqP3JcbaCzzwNbuxsJs8HZDBsznbHOxSjV5WJSzvH1uvQsqhaJRU1CD1L
aex3u5JJgL9Xe/j/ixbndgzCwRpn/JYcY/YInu5H7TT9sWszWAJkNuSZ7R0Gk1DxEncAd7mocjRZ
ltHRsAKfru62v8rpm3xBXeR47fcqOaFmmVdxGrUH7bXRo/LYo3Gpqiub8vhXnalqrZuxOseSym7P
K/O3TIcwExxo3bmZZWtZl/IYyyo41kEid5aEFddRgHPVG/N0UwxO8TjT2Pjo13QMpGZdPBWt5rwy
CJaSbR2QxgsHjwXDUgY7BouYB+IwG/zx3upL+9a15v4ak571aoGx3HpRNe2mCsGuyWUGXCdw7+BQ
xj+JiPLaVYVusUBlrEqrgU997sfkJsVPeXJpvjzmITyhdTUM5tlnk3AZ7aG5tUJhkfip4ifNL+um
wVBx4lLxwKCQfCmcilMxCyA6IIva21u5yG8pnoo2cccyPs1jszz84S3zb4TdfuXg/+EUB6/LMoQM
zhJskvQlf/Er/mCGzzKipLaaoys/ivLbGnfccJWqQd02dllu+tCcsHSOnJkFEgyVEXRo4N3dupMR
bZ2uf5KDMnY0mOGy8FJknw4L6gYNzNxJmirWsZNErx0FthPXXOSe8V7DVjSLW+LkzKFNMJ9ruay1
Qj+/0dFyTm/iJ8rX2AcT7T+oaSjWg8WiM9buY9uCYOsxGtzJPvLTzaj78LEeib9i6UGuIfjGtnsT
gyINEILjAIMHpxwsjDhrCKNTyLo34aCmBKid6tWw4oYl6BBVW3e2yicbZeKVbMM1zqJ5ZwjSfd5y
juso27XlpgbFt24w7OEmox8yKcqTwSB30IWFLtDbF/pBTnHdPoSt56/ryuxW9BciYCTTei5DMJEW
iWHOwAB+RwQ6K4alNjvDMWyrk5dw+yeJdncYE3YjjSHrtIcFzx4IivAoo494cEcGIhp9jWhpdUKU
pDkizXjGcNL34iy91OSZNoC+C1yUIzanEHRaPzMHM5RJ8zTWS0q9T9UpcY3gpnfN+AnVRpyiRDa3
GfHCS2VJ8xxntrCgoQzdkd/1dCprmdyQfAtuLGlzvftjrH7QxjU4DKR2/LPImWkm+Ek7ImgUSS33
jL/cPSzq4ZMtd1Su/P46Dim9Y5073ddNQkzNhAWHbjbc1iOvylK26r3RyGkQ1h21y5Y7GGQjfSHL
XR16Wfk4LHc6Snp0VQ/2uGuW5wC2m+CoMcwfa6dit9mUy3XQ+A/+8gxJlqfJvDxXaNuo1s7yrHGX
p063PH/ozY0esfS0h8CoKRrzmSDLSPLImrq2eGF+6a/SjCB93Y1YlrseGmon/fc0F/pYh0Z9jafS
O8dYTrp1wFcfOYDID5KzDKvQNXcoWPLMVxt3fYPEYFXa2SZI1Sb6N6GktRm2hMrVHHBCyUjsqh3L
9txaCddLxx3bOTCITT1JiisiG0NKgbgw3JZe6q9Nt8EgN1OXMm9EMLnBwRqDML0uZxXVL9A3Whb4
blaDDSvtrDtUUTtEJ5GbkBCAwjjtqu9YOm4p0MSB2Da4a4F9GeD+mHI0aCc9YYEuZnfmfe26LJbA
NxUZt0FK9UzT2Ujcg7jxo8mlGNezdktt27ZNHeui5tbNYO+GhblvYPflW6O1/HEdplWwwicc/mYP
slmqxJfyFOx8sbFFd+UEtHRl5lgUBvP7nOcJ+kBcWjxbkPMCLjGrsU6QkMSFPjo+l7LB1EJrLZXp
I75UKkyBoB7o+zF3qdc9dcNJIpNvo9C8wfFa3zjgm1aiM8I1Z1QkrpaVpukxk1qhDtgbR9MGIjEy
i4MNxhzSN1SvEafy+GGVlFb6rb32Ay3OodmMt1XHPYqI+Vvi/YZTMLjWgjWS9LTYkGQYT3bFYoSw
P9u26h4g7CWtvICRzz/T3RIe4sKj6K1oiRowpx474PaHvAqLNavDa2yYlyrDCiMTyz7hc8BXMdcf
OdGW5XcUYQECBNnG45nX+RMSQ/LpOiCRVT8PrNGr+Zhm1A5POB6e2aLqTWo1+jOoLK5BUKQUkqi2
M5HpggRoxv+VCe4m+WiJ3n12f57ZvpAvf0fl/P+U+f8bwp6I4D8f9K4poPyn8Hv+5K9Rz/e+Ba7v
oJ8GAfGXBYXze/L/VxWl45ClRmb8A/xeMB36BLICmDA+2ACXefNvg571LWC8CxgNufJdKf+l3L9n
/S/hMjQpXMYQaPgeXblMtn/Mz5lUtNO2o+d9YTlw4HMI8yVGS3aAWOfdHj3fDeUL3CszZ9khE/BS
KvOhpuiWkJNSwinZtLEbH80xsHFEdu6uy43ixp/6bkc7VncBXEEsxKrGdeoWBIxqnSeHmEjHkW+o
oPCwGg9j0MvxRruUvp1kZbbHmrVbQiykj0gkSTtOAMimXowjwqNuL42r/MJ5k6rFudDUsGLfssV2
alhk7Csvnun0SWmnZvUITHgp5fUPZkCW4QBeJL0MvdscsIR6mF+n8rtLXj5Y96HV/+CHA0HiK9rV
ZWT3j1BlgHBgKCL/yI4n3JPQ9NK1MRIHX40MnjvXkUOEd6/xqh2Rcqdi7xImt0lnEfnNYsD3m8ir
Z9yZGVgUEOQTXF0K8ULvkHKCMw8OPsRyS+sf9TPsHGmDxsZtvFXUHPF8JfRxqsIqfW/A9Z6YyvG7
t1XlURqCb3Pe+LnmRFPYXisJKLTUOlfYtagIqfrXXGQjBMG+q36K2aBHEve8sYZFWaOsJhr3CccT
8kKBotiapSpU9nrKaPAR49mYDXA9dlt82EXMDiCjAjnfcqY3vqvG0caG/TNCp4NUdmZCBGEs6DhD
fFUAsoGVUO5Y2fmAi6kzu3btEMiq1ksM7FPWZrCw+a38ldOMHe56g7Pzr2JpBAZeExy72NWmXsbz
rw+N4GjhX99ZdTlsRKuac62N+hwPiAN2VzWXOPXN22biGITMnRbjJif6umXFUL+bqptuefbTnqwb
1nRwz0D0tJ3YQqAgfjFRFKUSn5l/prlq31FzuqtcS+/iKCN1pYl8mVEZ8BbK1PNUV8mLE6RIwPbM
C9A3ff873L75waqm6cxRAxd1x7CYWcF4l1pg1PKM8Aib5eyGJmVaS/m76JfAIxBarLyZan3WLKUJ
F5lvaZzpv9Is4W8MHutLC3Z4bVlddRBFHOxKW5Z7DnnFc2s5NT4p+0naTrEypeDMEeCrH46g+bjy
qYDQ2AXG7BIMbOiTBTY09qa/SfxEHZuwNTchrOynmtK6tez76druiC/F3jysG8BGeiV1G6ytwuHz
z0QYnS2mqXtbDP4Ga9cE59Kz94Ty6KyJ8cV9+jjL7tk/CHr6XOthjsb52cCedci9xZ8wpo1HCeVU
l885iM4XBwPwc8Yy8rOP2/TZw+tFkrw/OKyd7lITTOtaZZ08a1E0rw2m5vuycKx3zkMUcoIICB5E
Atq5jPPEpLAJZugq4JlCVWpqp1vMfbDWbSnexznFCV4bynkSgl5DZ8gz+riH4reJTpk7DgDyLYWR
uY0LN0T4kGq42L4XHnSN/w+BJv/hqRAnQdWYAm+I4eq71CtRMAIzrT9FQoxyuRAe7dmbP2NvHOuN
P5r50wys914X09mriNEx53dFu/Zca+TnxEbEAtS3Xm0bPieGn6l0N0Geh5CQ0MM1z4hLSA/CzyLO
mJsggesX2B95t1I8mg+2XErBwVnZn1lbcZhD/WHeV5kgERqUFr2WqDQsYtzo0hZR+S5bh7sfdy0W
F7/OzyaLTIEBoGzx2fvTyRVRZ62jeTGm1x3rIs7ArJcxAQsfzikVE8OqhTC4A6zJDOTA5bgGj87K
pc1hiG5Kq58xs/gutZk67hf8Y84QnXGT1JLc3NrvhLpEIidvXE0E8jBYqocUCPtWSlwP0FHl0ZZ5
eIlyalmBUGfXRIDDN2NUDwwN0yn96nGtTZ3ecxyn3bVail4HNQuwIXbUXwF1ImNuGbTekbGxTzLz
u5ucGkfCFUt9bOZSJIuwCtI0nZd+WSrX5vtRqmg8iKTrHkIzyR9jEoBvIqWedhgi74jvwcRmkI7X
CWTGUy6G4jrJ+iJas5Wst9lSeFuUGitNxVgIldRoucmWbly4cYmxpdlB0kuaNKSCRhk0nFkp1ZVL
vW7UULQrukFea4a69wnj7bsBt3rfBEvP7WhT02t1nYdekYjHwUp8OHQgYfwm9tGS2vqDfMr4HtQp
RN/IdlGFsq9C4HkY24PEik9c4asy2Co/Q1W1NBhz2kDgZJcygEXVGwGB4orOiOqUjnQQV0sb8aCX
YmJv6Sju8BNexUtvsfFVYdyaPjV8yVe1sV8H1GnEPF5WDeQWyo/HYXw3viqRY1wGl3jpSba/KpOt
r/rkyneoUh4Lj8KKpV+57LEqtYhrvNlb1d6XlUcpraoIC2GwoqA5U7zqSmzRvLyWBme0x4iZmFbn
2MUcvXLw6fzwCohlK5b0I3sd206OiAYUQwtstE/Sy5Nn3tmQutqvEmkvoE8a77p7zGlW2weoJ09B
jCkQJC6DGyZv6qgz0S+egaWkOhlU+ciuk1xM09FiPTekrI4xUKAXVlBy2kxue5UoSZyJCGN1PSjA
l1g2xGWi1fbaCeJsFyp6s62lQXsml3KeS9XfWQEP3ZXhdd0L9YDgOdjvv5gjpLN86eRWs59jBvLL
SxA2zslrbbCcWir50okWL0c3osCt3MhxQ5okavDqS/d3HjbZS7X0gXNgoxo8BGHcrBoV5KdA9/5r
MCe0iCfyu+nk9Z4yxGkDrYTLeWkdD9raecQ3mF3FXxVagV1Tp1V6ynti5KVkq176tkD+569lZI7P
4quOKxU0cwVLR1fczaa5YtM8HQReqGsM4/2VXnq9REdoLwyNXdLboKCNlF40CmaGN03eMsVkQFIh
p23w1ScJTWlYT39YuzSJ2b9KxSz6xUKXprGeyrGWg9HWXFrILFu9l0ntH8al1bxfusqszn9kKYE/
A5eKtfSZtU7e7geSlNHKG0jtzengmvvJUBQ5VnmUPyRcJi/NZCLTUKJySEZjKLaI4slFfBWq9V/l
ahWmh2hb2sL5HqhO/1ZjqEuwVCSg28ac1mBeP6HqD7Oqw5iibw46+DnBp/NrxlaFg478W1/nr0kj
Rz7EYEAtBr3g7cMUUWaO++xM8gSvTIC7e1NpwzjLKnlkrPfOUeKEjwlN6ZjP7cq+6p0R0S6tMLvW
FB3+rN3CfOxAGx7SnDE1RRLYEaF31nky2I+jcxXykbPH4MsLcESqMFElzdHZjkVL70BAiNAr4+IK
51K59vQUnZXf1fAMrVuvSKxbyVF51bTmeB82VXLK5tza0e5jxOvO4h2LVU8QbvCa0dsMYSV2fRGk
txZ9BqeIyEm2NRRx0kORRd0NEbkFucc48+ziTiPXAQjJ3ghdGgiyHBCfWa1If2NPTkRJdsnqGPPq
pfaogtjYPadEckVlTpLTwBWzctFDnqhUCW5HreMz3hDs8W6ktc1DbJqv/XZovitpySecp/okcw9v
BL3J8lkR/7/nYYcuQmFn/MoNbO7IbJYcoQ3ygtwz5YM3T9FNnbltv3yfgubr2r8W/OCfgRwKHF7Q
rEgDc968Kgk3JtjuaCLCSdkp80AtLb1gylYxibvaLnlq0kS66RVVNpTUi6ZZz/QhYFaNIoz9vfKS
refbrsBs6hjvJGLVQ0k/rI36QflrjSnjbvby/rUibUt4ZdDlDXFatuq+RL5PadvEAjGYd76S+asC
C9xtYxxCxZ0qYxNKQIPnbePGlKyTBQqBc1jDhAXQLGNSrVNNcQh3RFAcwkEEL6HXM+gMXggrLUP8
AGLdN6pC9nSMRSzS2IXlbL0oBT5+30nTJ6gzjgT+RZQ8Eesv9H1RtbrfUUHifKqWigoW6Uj3u9Ds
UCdMD4fjhhIOFd91tsPIkecVLc/0/c289PJg5F2lL9wz5GjtQk1gZvDbtjz9MbYNmOqK8jgB73nh
seReJLAoKB5hcCwH3T1MLB6A4ufzyzhHnkFYGeIUj98UaDKeTrAejcQn8J8SSdkRkvwPGwJxtvx7
8sjxvS3fu/fsT9xhS379qd+hiP431xWkWQLJuhsYGGvmX1tweMSgyV0T6I3JLtpdFtR/ow773xxU
YdOkTdDyPM/+xxbcsmgTFBY6i7Ac/of8l6jDf8VBSdhCYHfQRHh3+vZf8egUcBi115Gt57B0YDy8
k3C12aLuoBVujLC7H6rsk16+9tcF9TH9N8wL/8Yeh/KtP2/fFxY7CQMXMY+kLT+L+LMoE8WuzcEb
uV3iX/kZOh7seWQk/OPuwIpMmDO3TOI5EsElMebLpOopx2USz0QqVf3puOi9kJj6iQ1vxpRa+bo6
Ek6DmEvP2iJJRJSHrlBZ/bOTN9wkPbaUne2GEEJaKAyzHLxrI+rkLmK2nNkT8wjN8RuuWGjeUeon
N+CgP1Km4w1Rj10a2NYacyyUiaa80CpBfV5kbqUBfK6LJyzTVAhc7MmicnaaBvsWBoh1zmH73XqK
OiziICkGKj99jAKffy/Uk9pPtixoCau2WZ0CeU3VTVbzUUzBbM3sYU3N2ztL+MOjxtREXHT4sKXh
PHWeAjSneiu6S7ygPbllQRFYosOVkAkCcc16dC06N13ZVBA+07oVXKRLywyr5noTka21iD3fazTf
TVh18Xf6U22KNFrHWGrb7WptD/Q1jIbqPsMJuR6batBG6yjtgh9dPSJQ6VESrW8Dk90+cWMsPVxj
m7C244uqGtSl0qHAY51znKJiGebjHjUhPuIJwcZJxvIkOMGsbcOVtxTrOXdmMhNSFpl2z+CevbV0
lHlK1ARIo54gGkdj1K9nTiAoMA1+NIBDVODUIF/2ldNPpyH1ux02/nK92Bp3adLNx3Ia6qem9L0e
s5eiPMez3eqZRjEcuJ3hEx7MxpoR1R+C6hwJu6JM2cnwMue678LNUDbF2lF1wGYMKxsF62aCLkHT
7jNFIiAUkHSiDtg87nyW4VgD7/i6sWGXV1o/XQMW9paOg3I7uF3AongkxmJSy04HBEnntQtl6KpX
A2gSv6xS8KCDWWUrBaMcrNOy76mi2n12NVmG7ZxqGW7kUJItnzofBliryKBV7AuvwkKBUo4qt77p
+7h7a0rBhZQ15ncyUvHPsPPqDz6Z5KKyMrijrJOi8EbnRMcTp4+/Y2ZjLEr6JGIDVtqMJKY1nCEP
8K/MIrZAZWRBt9YUtr8BQFDXElvCtA5RG8JVMqQAXmLb0lswPmKHc1I/iGq2LyXyEFVsluhmjA4N
h7Hl3PkBvIhCsTQa6/shtII35VfxCzNM7m8dv62AG9DbzaoFT+XQgUHx+t6attCLqT9m4fw0RgHH
K0He6b1J0qZc1RBFN5bVSnctSQWb+Lcb66ehEush7urimShreC8n2/te9gy5oIXy0NiI0YZoEaYB
/nFryOptX+LYrWTjbJVGqV1FULwYv1OZIaDZuGR2CfUp0IvbHAyXnDyximIp521MQf2eJT0BJjyb
FqRXcmAaqWnYU6LdXtBjmgXEbObHmaHaWmKOPEUyopW0XOajcadrTcLAyvzsOaWZIiGsTBptLUuP
2kSzRT2TnBQOjGhoDpBdKK2hU8W76lm7DqifC16hTv30vJR+nUXnuf26RV7HLl9a432CkvbMr5S0
ey2LpQiplnRqyvaBRuN449TOCBvJLe7pMUy3c83Qh7IxNd9tBcWNhxk7yBHZ/42HOb9RUti0nMBs
BW+C9dYAXDVE7HUj1BWiVmxgZ+hnY8f5buI7NQj89pFEIOc7DJgXh5LHwhAidW0yYx5ux46mw9xs
U47ExLqhPw8BsRJTBOI16dRAW3XvuoSxLKPEua7N9CalRvxsuH795OuJXI7CKOHTclk630fCSz+a
aCZgV8SLYzgBeEu2AVMFuJk8nl0iKK2Ormj7EmQ9bRxInEDN+FyZoE622Dvt62qQUbxXud2xJjN6
JGRN8L2+aal6IV7QpMb7GLYTe7kobNW2FGW4UyWREPIxHsFGm/5AXF4zGmdol4aDRJS2WObxycNL
qIwigwZEpJ5As6ZrQruKL7FcckFTC1wDeEfBH/Hn6yAd6nUt/PCGK6l986gxujGy1nvGu11cD0Sz
jnNq8iA2ORsfZKx5g2Zlr18K3+KhF/nJeAsc06dJmqrsp7nMKPvGkdY0K1in3o+qlPJhygRQcGQx
7Gm4T8Gg9F77qfshvm+lXcfrBJzZdjCD8dansHzHDzqs6dUqXkomMngxfpWs02UvGck8Wlo25mMh
SpIxXq+OHrfe1uY7f5+79LYf43DVe+ay1uAg9VtEg/utE/Zq3PYYZbHj0lGPZYnVv3kI2cmwYej9
8N2MNDNkL2ntOFVSs3L25RC/QOJia1P4eQLcfpp82EYWP9sUxvq7PdvykcdvfUY9k/vInPRrxfv5
JEU0odphV3kt+omVjqUA/VBtJtH1h9RDcxW9hSVD6Yw1Mn237dvYu92Z5cJwG06hOJuegkijR4Pe
lmR+crmRPjDRhgw9BMqRtfK9IMFSo7sQ1sMW1bU/ZlI29dptFMalgOQDo4KS4j7BqvRQVVZ/1Zsi
y08NNv1Xt4/jzzkLixjbRUO8wSJrzAeX0mSMaQWIr3M1Tw6gmipiF6KhK7zzdknu8RnHE48tSCQT
ULF2zjdVV8PeQi3JvDsz5JW/xiLnTHieS0L+ht06rL3wOk52rrgJcABPymAbI4LwthqqFyAJRCmw
SwCUs6p1Uigd7zgY4F/pO4rsjjp2JPZ1m0KkRru5XBchGlgdTyCJkJjJ1oa63fa1QQl0IfyPRnT2
sYylj0HMs6KWXQo1t6AP5Kl3rNeGatunbLKd3/xMBDkESi6zbSAUyCVLcEgg/+t1n740IDo0vYcn
wElc/2JSw8mqZbAZuXxi9VT9TZhHEDd6BOVxhFiD+XoxMpo+XaeABiajOvaD47yMXcMVVUCj4CBE
Kf3aIQZyaHOTWl+iMbwuecFbn21GuJfndB59T9qSFKCBuH0nk0RREK2LYRsnsJ9XRPHZgmdToa8R
R43fwqTt/VWCVExxBfzAde1m3ZvdDOwhMBEYb5EhK7m2lU5h0tg8BQJRIONYEDoeSr8GhxMNNWcT
isDGpzHD2rLWEJvUFVq6zQYtYkHP+irV0Y22Tftilvns73I2eIyOc05RcI/Sd9VJ4f0AeUnQFlPi
YtzYtE0drO3OkjswU/HLOFHd5GKLRDoPY2uVgVtZDaZuwVdMrEQBwiLId5bxoa2ofjXdNQvKklSM
gfAczP4q6vxi5yTQiiBuMprPNf9YHYm7PvVJqUo3pll7IHSAdbNIpvIQBe5E7UjqO/dpbRgoN6W/
E6rNt14QOrxyh/CsQ5dgi0dsaOezrQtmYb1wJdqfY6LSbTskuENbzApnr2/bUxpPIxDBNPcus6WT
aosRKH4wtFXcoKTy+XFTPE8oTejYNvzIva9S/RI6vnrEZADjAwvoRC2qjLD4Wtg/P4m49B9OTNiL
BYOiZLKyQxNHI9PNp+0r4iwzRvNHp9YVr1j2xeSkbL2CpAOnLxJchQSaxzLeWL0ePxODOGQ9N8XD
OPNQWdVlWPfUdWoSsGEZEaENu24Sh96xJ7ZR2aSvHS5EDr15gca8OKjMLGbN4DoEOHiNlU1+W3Ca
LzYZIqB55bK22EaWTB7qrMGXoWcS0x7Je+BFMz6cBpTsKNjuVUEK1dtt0JdXeSkhBuXhwPteJ5im
vFgGjxXKIdV0oeYkyIsyb+CeDthtK6vJ0XrIL6PDs/tTG8PRfLSeUz1ZXVHsQFRnINSz2jwC0YwH
lgWLgBQhbr8g2AYKYlQf/8yoyKR+xAs5FWG15oiIn4vUWjSK6tns7fxxpPj6hwDYc0AIm+or6Kfl
95LJuGIv0KbvKelac8cY696NOqOm0jbKHDMdbWvHIMJctQrKQMPdKn3f3gxj6PBwcEj58Rqumvv2
q+GlK7gMSQiDlJC9wZijnNY8i692GDp8aYrRrWM+eiWq4mjkP1mQ0SiTET7E/2ctTTNDgXP34C4t
NLIdMbqx+6B5txsD/zopfPOarQ8XXMidf9WlbntWBEWW6kUHEchxGfOGqU73iXBM+t0jSE9Glf6Q
nlrasTF3H5mS3XvoSGxtMOeOTXVVCDHfTnEGnQmLQcfwtaUZlYyDk7OHIqYprEjgN5d3ihvgLgGs
D/qhqwFksWCvPI4fmCdVjLm3ywCtzwwWM4wjWKE9XS6jCc6Syvmyscp7tp/FGQMpGFeLUyMyom5D
/hnt5KeqtJKtgeFphcLK4QIf2Z0duNh+q/wAn9Bap5wvI5WNZyxz5rNZFgIpka0YfAv1UgKHWWNN
kpcBX8mWlY/eueV058UGNVnC7SU4rim4IsqNzjvWIhp4QgXmhv1BcrSsDLm7Tfx5a7Z5eQvwJbie
B0Ag6yoMgAnx8P7pK2/fAIv5BIiWnaOBcEw3lMFrZQz+tUeQ9LtoZPTD5wW69viA+jav+BKnJzhb
JyHkEv7GzDjP0vY8AmI1EdEhVvUjPY3mQTQh1Jox0Bbu7pj1Slj2K1rD6oMn4+GJFE/2FvbmjMfC
1Mbn0HulesMDXixaYTII/MzUAu3bFF4XT1Js593CJ7xKUAh/GFbXnjS8RZZXccALLJ0snPRWrbNx
lw+cJrPUD+5x4vk43v2m3/X4tZlxzJrAYU/mPWTM5KSwyZZ3JgSlxAWS4fOg8kd7zDackdR1/fXY
6fjWXjvJSnyBDIfmZpoMLorBFLN7cAvGBIj3NsgyUVHBtK69nhS+XVryrYNc87N2ExFuHBFkeuMr
P7gKhmAKDhBVKVaClMUherRz+dOPCPglKDlHNarxlkaFmQC+GXMw7a0UnknhAGR26OOG5+VUh663
7YvTmWwvIt/kkRj6QAPQjyPowrUiipkUnnb3CZmuep1SWyrYqQnz1Ld1fcjxzS98hhh9tjKIFJDs
8rv9f+qj/1v6qGMuPQn/3D52SIr3j/g9/y/n9v3HTxX/sT3G+vWHf5dJg2+m6bvQ2gNBkwlD1t9l
Uvcb0iiPZPP3njX+n99lUtv+JlwXA5GHQVUIsXQy/O4hs81v3IuEe2xpoZcu/9e/UM4mvjxi/7Cd
f0WYcISZLh43YVvC+UtYSAA7rkcmsj3hA/zUnoJ2oAJagmtDNx9OZ4NfMOPgeVyqAMm5FKvCCbsN
vunwSsgGqC38WpxZHBQr0d2xSCr2TtGlb3mbebtqlrWA3JA1H6yK6hVuJbXORx3dGhAUKOuMjV1F
WoEbP2GQ4BQGZYwe60ttuJQWc7M7H2FOBAXNTca7wSh2OuhvktTJj5QpWJt+lN1Vg2teSqKYBELN
XVIHd2afNAdspP13GTXBj8yQ1C5hpg33LVVpO+5toDl5mk8/lk3dW++G/fWsUvAiciKboqr4QJZL
77UwsfpMDUAIkd8AF/Hv0FjGrRZpBdHbtIAT9gtKzDEPeCPm8wjZFaDKxBGzsOX/ZO88emRH0iv6
VwTt2QgyGDQLbdK78r42RJlXJIPem1+vwzcDqacxwkBraTNAz3vVnZXJDHO/e8+d9kGakx+a+QI/
9XNR/OLY7FzBDJIwbLvHuRH+C+Fw71a6lb2YjfuYd7UI5MqLC8gm3K440wRRw8xuyhDSPM4KawZb
yWvTTeIk4UdR/ml9gSkFDg4/9BJHZDRj12seUnLuR0nBAz0c2D5WYeLGn6hvxgu+IO9cxY19CbHL
fZaIiSF3I8UizkZ6lVG+/FpoK7viA+f3BBi3YjDNIUfY14MKmnxDCwIpESY4W6a+PyNNyxvHibDr
pT1miyopKWZN5ReoHdjoRIu7XSypC+eBt3mjjPzBziz61ObA30ReJ157jBVwRtLq4Ctis2WXmFfQ
6ZpDiVVnM5C233shqoYO4X70xINLjlJSg3oJnr0a5IyC+fBoC7w2fYOW1JKdeRunEoyEBSqtt93s
Jl5ciOvaiwaWUabLtTVkGzdotkPiWshmTo3JP/pl8Zag/uWlujbNXh87yuP50KHiE5e4DMXsf6vS
Dp9G5Hxw0TJ7nkYrPXkRYHeGkRUi9+hXF6+nGAbVwbprKsmU1vANusMLGzO4DV7iu7GbG9+ukY3A
Z+8oOLOuZzllO42L8Doa045YmcVTi8qTPqV0EFab0VnSEBnvma9NkH2cvN5nMvuUt3rl/RJVOc9M
13fTsByuRv1d2UsPHXiHcnLd56TElJRkYHNrkCiqnshtqAR/fBDnT1CC/euI365dK6Pn0BEMJgdY
YkLXLfrRrZwJxLYRdYd8y2bgXvlQi30jyVAxHZ3AHGnOGJnKvzz8/T4AAaM6GKq2dzAEvS2osdu5
K74aczzhn+R2LjgDAefc1RC76UwuD17F+dQn+hpVxiY0c4tOFjTKtRU5/6oNYslh/kMtwxLcFDbr
NIMajLp/HQ8FrnaHomE5iGuuMSvwAkswrAS4wuOYl5eR+iK4INZWNvlrOqY4aouqhu47m1z+Qg5C
5xbHzg8yRrchBZaefQLSWMYtI7kUocxfC/pxdo0LMn+LA9bOtm2LQ3yJXyf3/u/vc/L7uy0Z5dpH
MiS2c8R0Ik+DIpCwHnoJQrBjcvv+p23qnwyoXPuvAypTEhll55GKIRObz19WfPKFNlHiUOxNFT4A
8iBrmcgHOIjv+FOpEcTuvlZuWGFh6VwsU3zGO49DPE9DDWZ4hcpfm+R0sPGuOFuPew0Vb1PrtP8F
ry58jLJxOmItONjMtSo5V5yruvrda9pdEdUVcfLmZGGjA5gQf1XVyERmNrPbEaTW0RR+BTIy7U6+
2UQnq8oyG0MhLDAA3vJIubt01iIR7Zb30VoHQ6Lx/vVk1P0xu+3cwX8vvCR/J9/X7yAR5J9WJrtr
/AXVdcqNbBcNC6yqHdxXCrmDo5NJbuFZ3N/zj+6unrv4Fe5adOKagL/Gb7FvZY7aD6B29oUzyAvX
y+kIWBmsLHeHAGqUFT5AL9DcYOewWfOyh7VEhdklRA32XJkoLWST3aYUv+OUYY3c1k1QP7eWMvE6
+uUz0zEE0zS3fxxBrXncJsm5ozED4JXS51KlS1YA9OCzQZnIDWKE8SCbwTrAR8CpMpMp/QUsc3x2
jAKPhlvkt1FQ1beAOvqTAPl+kKYdXYJK1AdIKses9jZtH3kbt6jbdeU1ZNhdJhF31jAMd+PCHeiH
xYUUoZrvI7vP+UQ6QEdTVT90VHOsOTcXkN5M69MuZcBd2i7oOASa0OoBbXxWA9N60MvvmSiHq1la
7WVGgIBs24znPPScS+bhXPOcNL5Qsw7vmJyWhCOmGfOF0DjWou7pBQAwcNMYAwhhd4BOPJohYL/M
STfKlnCva8APfj8nt0ivxZUzzgvAJ+9XWUgkcnRc/y5aVhGAPRxX3KMBmKKGBzVZ0UPKcKQa0gzO
L1bqBkiABrjKfc7N1hNLVbOsWSH+S8DbrGMyNKM7KtuNH5jq+RchGKht2GyLobZWdh+3q7xJ1Z7R
Jgtj93uRZKWwN92yctbLGgprjXUGqM3MQhAhc+GU8K+nZeUdlzW4tuzxlA8Fay751OmVyyNq0TCx
opvYpHu3Ks4z8KV3NTiwSVLXZcRQW7vs98aglz3CXXYLM6VfYZUse0gVJjEtN9acx+v29xYk/JJ7
vW9MLURWs3IfJ1GoG0CndrAZl30triNJSBt0sNojT9Qno8e83Sz7ZMcUY6N/76B5GXqfQ6kVWwXP
NMhLKy7PJSIOa2ibVYciSIZ9EFH/BMJ82dJn0fDBouwht6q435lZ5eJPbfiIuEpyapiWA4TBSWJe
jhTUBnG4SJxBr/POVZtoOXcIjo+BH1VrJ1smpUHKnTowuvGcpWa5oVFgPAYMi8HAAfArOfpsiMzp
o+46i1AgSXTMMz64v7GAIOunSXKlrEYfcaG3VzrMrJeocOzrlszSfT6ZgCzqJmp2hL79X9VcWrdj
OqivPu3627iZ4iej05hPmd01m1B07rHFEYyxoDZILgk7vnHwkSONxpG8dgzZHWoDIzlnuolJim1x
JWSHUigPZXQq0bSv265nPFYObv051v2rcMpy43sGDLFECrXLSLHuvbGPHt2QX1xzazjWRsmcLYK4
ugzekVzLRjGQSGzjVs2YzphP2A+ZLpxbejzUmukDz0cWF48lYKZ4RVIjPUoj1i2CZZQT9u9JcoZm
2ZFGGhnYO9yet04/+AcOluKT0X33BQ6X2SGQFfiPE1+0HU4+JVa0FDPECE3eRtQ+tU807/g6HZ0Y
ZFuZnIfaM05+1YOs0uN4whcHXMCOa39TIlDcxaEh3szRu53DdnyE3Z+tIZEjwxDWPEVwP0feNM+5
A/CevGvJuBjjokK/q7P2M1R9+F52MIaEa6d07STBnr/yKaBfbXlFatvSune2Sp+HH/tmylYu4juj
ogkkl9SyrwrFKRAB0rFvY36NINH5WjHG9pgqkkWZfwnLgFXQFhQCsyZKrF1CFxiE24rxoiVeiyax
wVI13ZWScPpCJlTbARITP+zOQAqxgxM48Srgvd64JeHnrFLfOfnC/skG/xPsuqTiAs8ZfUtFfnRp
9uHbPnAoz3UV3keZnPasPBysg0Q807C+gW2SPZMlsF7tyuwOfZeWL4NS+gXnav2LUJ7c+LB+Dn1L
HaYvnnFpQ1UAPuUclV1cUf92o6kF59C/2BDG0dkmaDXoeCku563oGR6twRA61A+WdnnEr8a+GyTq
5EsqjOa21FuzVtNbbPCcYmmxzmjTwKkiJ/iy6tjeh46nBzpDlmP9nCMUg0mZ1+By4clHwd63K2Pn
mACbwVLE53KywulMN1xx75BlfIy4v5CloQrzFxNsjosyabxLDkAbm2Ao9UNe4gFfzQMMWE30e+dq
u9zXhcSPT/S755uoHIDZmM75t/bxB75Kyo3cssYMSLESlAt+d6b8x6Hz9JlZcrtmHFGibWsj3dpc
R24SBx9gTiZyO/hpsy+DeeTiJOUKEwewAOLc+xjVd8WcziVKkkUxHpTJvwLVjtBXymInzc59j6rY
3Ft9DH3SM5KOufjEt7aeBH0yeaSRyYvmqNPmzQ+6q9kVP4t+sQU2ZX60veHe+BU9Qm75yJDLDumS
bJt7K6ynbD/E8fytmQWuoB09ZxRUM7Vhb6f3wNwMKIXYUqpmNVE4tBedA+N9TMVzG8LCxqLDUlzV
fc2S1Leb0LbKu9INMrLOVLEamzT32kfkifnRKTuID4lgAGm66oJAX/Z0Ion0Ns0Li3k1tg0jCJ0r
adOCTfS+ZYzc1l6+J1NnPCi26ltp5sMPXTUBAdl8IESLij1Hzo3hTPahjhOORUZ+lXnMgUQFILYB
rEixht7j+KlYRbACKCZ3m0x906+Z6t2CPxxWxpQyoSFKvynpuQG8BVFjSM6t1V8r0b16yXsx31Nz
trbslpan3NI/WoXXSZLBpK1LceeqoHrj+WLzcqb2ZphdosVRXr6Kvh/CVZyiQgDNNeq9zzf6bVbN
8ORkvnwDvqVeHO0wfReNfWwMoU/sBBF2VejVHtNEsk9pts0NGo+0Do9tDfPEd+PFK9VFd7EunfuJ
keW7gpeKsyDMjlhIUXU1EHU3T1R68Lxazeyn7vjaseStKag0JaQ1KzrgIc+OaTxVW9tcvAUG9Q4W
joC9Mop5v7hZQCEV+mAXiotsxEl2SoEW9rE5HjhDgqq2C7o0VrUUwa1KocwyqQWAmnb2NrHM6Any
QbzvcVlhtuiqg2fX/gFmWERALWYSgYSKSVRBHanCbN72tO68Ym5l7tuO1HjmcXYf5iyigBONeYdx
aGSmHVV7NO2n1JjKU2IDY0sCOB1kNOdd52ru/CAMH/06b7ZzV9KVw5oBLXRKy62KMeevCSYODGCb
hG9gkgsW7Bn/CRkovlm8lGLd+hk/0bcZM0RKKp6nPG7Whj27X/j25SFKWCFoOMXz0joTX5U4O+QW
89M2J0+Do0cTWytYzYahGmClqs1E+fDZMoPgKgeMAN35UyHM6EQcw4KfiIIztSDkM5jobrsCp1nm
2WuiRGILKmU6ofBhH6r9e+7la8a9A+9tRoUSw/TsKkqsdp0NUDDQCeZtPKqIaxI4wFXtJek58pTL
WxCYx6EuzO+56xlCWE3+E5FBXJG4io+enAyK1QJqCGTQFqc81wnFeUXyRiUUwKuK9Ne9bfT+Vc5B
+5a7SntmmtwdBaEEog80cz5rw+4xM8flWwZPAG9CitNwme0pt9SHchDeQcg43dt9XV1ymTeHhoAX
prW1GDWMS8v25x39SOaeb5h8armu3UJ6iVZ579bbOEP7iHyxMrHgrdqlGspSp7E5TB7vZ8ecoqm6
NeVv3r2V9z6oF1c/O0ypj1WSpoAYQBUgQ6pjMOhbUmFD9y/MmtY/uwor+7cXVfgWFaL/6NWkf80K
AmK8e4Me1K2yF5E+7CkiqxQgTxIu3H9lOoaPoZMzKq8JoRebKCqNu3RIpk8waWUNpEdFW4I7GKTC
Ra9E05HDqvMFlS1mhDF8lf9WOIXTMez1RgTCiT6AE+U7Nv2N3BCNv/Vq/l9Gd/nUPf9J6FgwYv/2
67eSv9DH/uPfrz6+o+njn6rxf/vRv+e5rT88stKOawpLKAzr/2BaRnBfnMmLl3npj/27GG85f0DR
gpbjIxix0Pu8kP8OdKNYEuh2HPyVnuQB+l+I8SZRh7/oUugxDtkGjv4LXUwu2fE/J7pjk6V8TuZm
t+h/9kbUmLXQ76Ibw9DiOVKt+eJVoce6Sa7gAt5rME/oVS1dgjGHItuKb2o8a7hHhsn+pm/Uf5zz
1mfhK0LLuaBbddFzCH1uWhlG4T0TqMZxWFrWZjSkwKCZ3ldM559cVSjc+11/U+biGdfESElJPjzG
qswewznPvzvlyptaZPpg2UQsnHmOjnWYdbdZMqaEbF2FsAO+JaNvNDJmbGoTdHgu+4Q/W2xUnjAJ
f2Efme58Cu4ouI6dtDhZdXWfQ9mY73u/4Q6zIOAfSuExuqOzrX/IzCJjDmoP+Cd9lgoMprYV9UeQ
lj3Orz4ovw3D68hVVDlOXZkxdL90Y+77pz6w6N2euH3Vd9OUlN828cp4H/pj0tPXEvrf1FaMn7PJ
Lfxg1X6FZufKBGfwYAA38X2MdwYRzuxGATRZqkJU/9Mu7HaG1Vn1nlqd+Vg4JBtlHXh3ls3obtCa
bJaUxqk0olLsi9RzPifOx/1ROiXTexK9FaiyyBHzKhpLFOIeorqpQ9KXgWlj5vEn8UgrS/zWpXb4
3VGl+TWKxr3OKBd1tw38D+YDQ2ivyUwPZxdT6p4MCnfPRNXZnneFXq9WpYgPTQV1t4rL+QBCki2O
tr+LJO6fvM88HPfkTox61YpckLL2Erp9UnbdGVPqqgwmJjRCglcsu6xeoUhFG5w3JHdsWoj2Gmbw
ySh1eLHz5ItaF2M15lWClpUVWJvjUD8g/4Vs58S+RMrvjfPNWWtjNole2WPxAcU7WDWkzX7CNPNe
UMl5yE3Bbv8elVjYcNHSxd6Nn9IsBJbT3jjoEWglsVkak/TcRpsW9svZabP7UmpCc3kdXZSa6O50
lf9W12l8FWKrAVk6zdG+al2PgazFLS8RRvra12PXkUhUiGFOHI7h2rWtDPw5WZvk96QIfwl1kuWp
yaUBnB1ZE2hp2FyGoI83UADuue+IbVyYdrW3dUvrg/QficX2b7UNGluUGA/WaAIKck0PhmFH264n
DwIm/YdCRo5eyAhH8ToeI3ZWTGSaQYJpDMNRuKRnVkM3M7MqMhHnR9PyuH9zz4lemyEe4ZObYUv6
HTPieKnAszFVSZZjDIFGGe3sxAEeGxmDedNwtHPxwNbOG8ln1Aoajlwj2AdZZ7/YwDaNa2U3Ub2L
VRx1u3GJOmxspnvTGj1Gqt0wjVAyNe0OnHxETrZ+Jal+GinXhcR9hWyFamNWWgAJ9vlb95E3kCCd
XFLzLy1Pl0eOKE3GXRAaDGbigRnfOp+WptVyZtjURnH7KHSqjgRLwuoBVtAEwRlQrf419FN56bmx
88VWJQrCRLf1MzRjSKUE0xO671q/3sogqEtgn+Q+N6FyU0RZMWNdaADKpyhKZtBvsjn9qX2Qnhx8
hnAb6DJpjjyZXFTLmDmT6df2HQas/DrPlfp2jDG3DpR/+/Gps1X9Kan7MlbkvKsNNoqxJ9HhxywS
o/VEVaH5BDqCiYJITHuXJjYGGkHn7TryOAq6iiHgejZ9ZW0CxVAP0sQcAYmeyD6sO91VxZpfMdtA
TggM/lBigk7HhFOqzuvhre9zj25flb8Urp5wtqphwn1qkb2uJXkGzAHjlnUoBGBHdc3BMdvhqvcr
/5YEXoo9VEMkoHFnvAN0P61tYv339OJF9nogVkFUIg+LY4BJkhR4Sg8EwJr43LYExRS1jY9IqvIl
w9m8M2u8YMTnHLxLA96mjC0y246GQCsK+5QEhDXqbUgz84zBYe72Yur8S1m0xpqLETwNNIyOWEJe
UqFadB9YXsf3eDDt54aeyqPDoXeHEBzcs1vG3r4y3eaxMPX4WeEj+SaUMTwOdTbsepU/+CxLaCwV
EKZt1BcPGv8iAXsyIaeKaaTY4xoOD+iOcpNhvN73HJfjtbJbGnqoP4mjnZf2c72ioOQt5AJWkfrL
m3PiTN6Pzw2GJrHCRgHxxUG3LU3TbkboolDCGvBzd3Kb9qkHHCAtDhkNVojTRGIUkz9CO/Ti6d1E
gzSLa4idhAjqpQu0pAcjR267TJkkJtfUc/FUpUPqEoPIlpRJX9rH0u76c5JEBO8KFwgMeG0aRmlN
tO/6bpJXukr8m7xOyBqTg/pia64viNDNG6FZzEzDOJanckzCc0Y8m9cysVApOdb3WcwIGytQ79/w
Wtp3dCjxnJgN5i7ated7y6W4MFZT2W4Cx2WSpX85npU+ceaF0xBkcXvNp5e/iRmQyahaFPS6VfsC
0PGGspxvkh3zbcSw4pqTCxVFfp5h5iUXU/lGTLVBASkS/gBVZ8S7+b65UMtNAAd3olx8QFnnT8AA
jbl8QFo3TpZd1O+WmfOAhXY3YygsqszbcDvqwaA5TfvpVL393nhlfzeircmjivLktRjCMLyZ7BZT
n9B2/kmtXPsVADfhcjoWtXFqmgCGKNZ7X+9od3AffHvCG0vlpXsqmfJEK+z8/O8UKQPScBiymAnD
dXs8ZjEyoVXxh0nQqjtbcwlVQ8PKzIdrPpPFyVvUfsoTqKBUGSpFiIO7VGO8h5LW/qjCB6Cf9Pyz
kFH3o4aW9uRBlZfBqd0T1SLlXVIU/bxq3KmiaSDt9VOKCLaPqqw5xxG9ncIJ0BFrdLaVWcdgHk2u
6aBoGjYbXG2ASN2k5xX2EX+4yCb+odZZg4l5kvNH5VO9sv3dKhpPRvDVNqNLSqTpEX5Dz15glOPi
LDMZ5FKEqxHzLH48p0Ke2ewqc5v8poKNes/BNNpAvrAI+MdeSL6nS2ceVpShveXr4t0Hv8D3TebD
Du9VbCKyMsJvYVEsvZFOSC0MgUQiUupsB0HwIbuugQ1YLxV8Ng0mYQGwYFWauAxdXtI2ZM2kxpfZ
10vrhdXXLCB4rmThqus4Uj3x0a5w7qNiGpfMQf5Y+EyuVnVNg3jhxX3MZD5ujjnOEbkFflPcsupP
G8wWtG1y2CngqIogfAqAz7LuDCyTjQWMDvUHon0dcGjaTIWmyUKOU/XuxZqtxjP8+aame5HybWSe
j7Yt1NaNNLS7jDb6GxlbtQ2kITMTSgJtovdm6o5XbW12DDmRX5/CufUf/apMPHrafQKBUyQOAI6A
54zuaL8CHe6jh2Ts/NvKJu2zZYHxSK0ZbB9LmIWsBjszNJtJnSIYZvBFs9Y7yEIa7TrBeDitQt6z
g4jxU6i2xR6gzNq9ozuGThUvH6wHh11nUzphR0tWGz/IyfJu8etwbosw+N+liEL9TvhoYRxJDAHz
DUMoyJo+dB56x49v6JODQsKEeQIbWyVfWTjK+6pkoT44EtDsKiYYtyVKbnyz4ukd+zNdS5Onf+Gy
pJ0ni9QT9rrC3DEOd+4FDh90PLILaz+SYN0qCybGMJFfgUDqviVuP99mojY+C8Y9D2KKaBSymjZb
UsXuD1SvuLwwmAW4PTcq+4YZ2j7Pwzgd0jntzy6+1XhjuxEMNuH2OoeWWU/TJs5ZhQ5VlTkHgAfG
kxNOab9NsZbsRavac4awQ/A+FoSy0Hq35tRRjJ1bgPUFJFIK9uAnvcxe0G6pRion/q5bucDH43FH
ZUN5aQuacTZGGNfbIQ8hQoWNOJpZ9zqKFhk+LOINmKeOF2JV70FBIxhbE2PNSHrHmDk8e1do38WD
S8QV8Ry1coJqJVi8MApHz1ZievhMcAPzFPYrq/F/Chf8uCPr4wiCZFt5bbqzjWjcA5Es9gEJy19g
FJsbcqasfxPTg1U9cjvELrAvMqa3+Lxte0MJmnMd+kVxC/wmOla6bHbmZOQHs0F7rUK3+xqStrxz
jSnw1nA+e84ubvGIzzHcOThRD8AXwneOMw027eg+zlmaG5jEHObosBgqpiZuXwTMvRnrw4qFxRB2
zYWkAzs1zpTNEA9f3B7ao8moH1I09oVtnw/td1LlYtjqIfVA3kbeO5VwIFvzymlPGGKAZxlTTWsV
wht4Sn3y8RV8zF71PZcGZyuGoMt2ym2sjHKcAVNdk5CyZqovw3DXRxG32pgQwhXZ9RyI9e8KMghB
CEYW9PnRuWszATC5gqJwdqqkvYgyKo/gruiT91QtbtSsYNsb2oFIGDzy2N85dnjuxw4S0WCTwUk8
ANnpTA6DqFIDRHLFx0k2IQnBrVCiFl1FRktroJ46CpjlSEoIRCZDlYzGZz+vnhzRjh9xmYy3zmxB
uxBOq6+m2XEPjgVUoghA2e3F2KA7Cdypb44lbpKyqW8STLD7oGkPnSlrToAd40AB1uadU2ewRo9W
r81U9J/l3FxlUVqdm1Rnm8pccvlxJsNPIjXiM+S4AWJ4LHZYWLwrDnrzuScBc403pHvIIv7b1AYr
UrpWt6tAeVAfU6PvwfO2rguG/I+UHfWbCYIUCYvUaN9wIKtTa1r9Ns8wRLWTpNacnmMQl+54Vn4w
PAQhlUnCa8WOESG7G9S9nTRM58XLKz8BvR2G/aav+1lsOY3cpjyN1TYDCQ1LqDOzbWVUOKIwveQM
5S2XmTYNsxH1TTYj6taQ5Tu2fzPbREbX/7gpkVNGsKM3rk0rz7mZtJQyt+wm37Vl4H5IKBM86DnO
38ewRp7opEWW1DV0Gd5muhTPQdwXHL+T7BbPsfVuRYZzA57VpG/GKAim2ClFZSWfw7HjdrMDh8NF
wqVh5zmpxkExLMAS94A/OM8PtM972zLE+7710mp+7aNSMT2s+uOIYYT7Ap0ft6R6LOewCCQfoTKo
O0zmpYWoHylVljbj8nWb045lNpRjtUMPwmfsyocoddsPC8PCymjM7GCp+L3WRXSWgM8oZu7CZCMG
dBbudSmh0aBQj5U7tYcmx+9xFQLOaPBG13TZWo01u3u8c9LYydFg4uUtWZhnMFKW2JfsmpJMTboc
GWllGGAVUWbIG9H6HVnyhgj2StOM+lOKsbv2mJK8iDGjaCaaZED+pHX1a0zFwwkFJ2coqytCMxaZ
+pPhapk9DgvkLW/NHtcJNK/mXEQjFJ05mrIt6BgaL1El9q103/ysyvxtxfVtLxHnXFakmNZEPGQw
54umfge8NRdMvHGaJyGTHa5mxmPpBd7FcOYG5L3GZNpBK+IrF9fXLPmOfa66TN+YgbS/UobiLygz
hITYjzhJl2qfJ2l5rfwSq20d4uaJ/VBe8JuaO9OP0m9tlAbNoTgpcN1ENblscyY8s0rg19DwBgQ7
xvRu4eNxygE/EWnj4UonslmuhV2IHpGSjkN0LluyLU3eDbjcwgG+eENOgmFXp7JVDMeM47AG7LwK
RNbKQ8NNTOMtmTzY+y5lOHWiWvrm6rJ7lUG1HJVBU7HnQHR6TJADFZH+tLvJub7w/2ZMcdZRxoO5
Yp9OHOrrMvsDbggjpy4KoRuQaOGEwxYF69yA74Jn7DT4pfMJcrd8obfFe6UqLR+J4UfGbeHBtSa6
QpJpPRAm23kTYKcdPQY1fPKeUt25TNJ1MHUN1zscmNW61G1J4Cvywne7msp97nQOsKWcCY2VZ56x
a4mCYhr1FIxgKmc32kqTs2OnSc4qb3mvujHwTZoOpci6cuRtpoQ8pBkGfp5gmd7n1GEdhkASQYtq
7h5MeMI25SNx8oupl4BKU2V8STL8GBQUAVap9oGVGT1hgTbIyiN84gAmc2bqfdK7Nq3GaTC+9Q4X
LH4Tr3nuJpfgtUOOk9/aXRKcVtLOZFiBPdarnsTeR5dG5iN4MGJIdus5nBOSUJ5h4ZHIwRahPyw4
tOgW8WiYO/p+gFpBZ2/rk+9284vOu6UqKtPQe5JwdJXJ/HUkAUg2eZ/llnNCEHHjXe7JHKqCSL+h
BlhXpI7AT6TJEpIgnl87N3EXts9wIPVLNYgesNMUEIQfZo/sX2JgKecR60xmtTwqp3YK5nzFhLgC
ENmH/mMW19zmR4vlZ3JM/RlMQ4sOAvbPurBO0H1K5KnkAU0glh29sarzfejhtzwPWd/Nm1iP7let
uvopdSyw5EmMUwL2IZIeKDWX/r3IQXvkLmAk26SriRuS3ZHhB+0NLiTOevHp+Nq7xleBc9hl/WTB
1iGlARnr/7xJclIrG5W3s7s0WiHY4FmqBPUwfXmts3SkqZs025sTaIwpbtW98U2qrUstRLcP6RTq
LqWwCKkPhiv9jSGb8DsgkB7tRqvTHPaCnBw32xLrypiPafakZW+fZr+YrZXo4N6sKUpQNoVG/rC3
HSL9hrX0lfWA9S5wmDBQcYs0wqWvG1I0bWip3lpRPN8R4UnKPbQCir/DxG82leA7zyTYDq6G0QiG
dd3qeVsJTRx5SDLkr0T4LbW2rJ39isQ7JUeD6C7ToOjRWzwzdABMJTpaXAvEpMZ1WAfmyPeu6ffg
dJ+ys3EFc6Z8E2hN1tPDzuNQqhQ6HE+HELFoKnjBoTE2wVUDmyDYpZn50yeGd1970KtjpYnp20bR
jnSWaYirKkrxkxtpWdPUyrIZrpy2Mu5CrhresxXPE1Y9unpAxbYVm4vZGzuu9Xb8Y9v59J5yIFNb
HdPclo4eyFsOrhUgKDe+TwBbHEhgRP0Oi477XBJNOs9THz4v/RXNioiqpmEhfS0NGWyL2HWTI95+
FPfFVBZWtJhsujHIPxjoGN9FXE6PGmuhAVoTh8QK0EU7nVO2wno1emlG17E/egeMh2jZ9O19cZir
P4X2sqdZjFRLgLxuyLoZ0ckwGTZh9F9+I6j9ciUdh3BZlNq/TKMadqgWcjciKJyRdOy1lqq7bcRk
LXnLQpqr2R3mg+TBvW+robzHu8I3QCdmvIms0Hqoq4Y1uyUw9JjAsBnPUdWVO9D7XrgDWN/TXEm9
MrJM2TjzLrCBVBw8Hl8oIgXlWZsAV4G+RmxIJno8zX6+lDB4nEMzKsl4Jmo9OgWwEhzbKXqIqoUW
N5rTB3zQrTTA7OKfIn9czenwxUCGrLdfWa+cyUbF3qYj5wETG6JFkXhgDmonfKwt03vkLArqQPgR
WDXBKMrg2FZVL0Dcix8YkZxFZY0OsPYakf3C3Ocla0/CK8idEbG/6mL4XdYoV0tVfcqJsnay/89L
/W3K+i94UrbpWcwq/+e81NUHvO2PBorex5+jUn//ub8PZ8UfPuwLIRwfPPY/DGetPxxlLl515QF0
Atjw39NZ6w9BdpQEpbSkvzja/2s6a6o/yEgpprOSnJQ0vf8VbptM1IJu+nNWyiGtZbumXNqVBJCq
v0xnLS41Y2sZ43ZqS6s/OMxINmPfOC0LoP0TLifWdYsjV25GfMkoV79juubvxK7hGvHWoy4A8wpr
92s22b5/3ZPEBNmdN9aXrBgOE9HGtzna5IXr39nh9HeOGBpgWt6pOo5fDFvFITKHPRR3lUU3HPsf
jvF1YedEMf6TvTPZjd1Yt/QT0WAXQXKaZPZK9e2eENKWzL4N9k9/P6Z9UecYhVO4QI0KBXvggbe0
pcwMxr/+tb7VljI0Azsf25Yq6tpzsWpKCnjlQGoduLBJ/vmvCD6XZ1BEEICj+7KLjD+BE9rbdGLZ
7TdZ72HBaLRHM4s187aH5cw2Ih5twafRaLK7sa3HG/0a2xZrgttgL3FiuSPcoBUwrG/Da+ibh7ee
PcI6eOekno09ehEPmMYxYVqMIarRlMQJPuCptdMbe7AYGcprDB1LTdQGqJd26jdRSgLd1Qq5a68p
9tnEk0dAIk3SO8VGnw0DWxfZKOtG062ZA0y5Q37AVDVmp3aq1yBNBDxws67caRpUuPnADZPLNzsj
I2qp22z+QJQE3Rrlx3Vp3iFKVTcGUaEHTOf1h4ILINpuRfZOWdUHXL/Floex6pghpUvdep688dUg
bg1Re49n3K2OIq+hFCxXYgHZb/sxm7nEXdblbAjPp7e9DRIxrINyXrRpN1aSm0kodaYNu2M1d4oc
4Be+PmIhObQgv95owRj7fV9HIVmvdpo9X1wJDe6IlbicJoN6ejdU5Y2rIy9tBi/HKF0NtXGA0gT7
AfNx5h11tsr1GYgD0AZXWv2wFeVYHszJ7brAsCqz2kaLyX+zGwE4oeC3h7s5y4Yc6xAGZpDLnmmg
gNQS83tUT88qjrWcfSxgi3pFXBRxBVwkatvvSoUEfnjXwTzTr7CMoYUBQAc3/RNxq/fHKF8Xww0U
ZvibmjsUDLhI2mmqW1+1Z/TTgdpSVP8YgQzOjAdGC2E7qk7W2OFETOo2u+lYAT60iXPP4ka+KMW+
3+/CRqNt0IhP7jgCHmOIrZEEUuOReL76tXizhDqbgQCGdcqlR3NN6mIGEBVVzkz/TDCItbOhUzfp
93o9PyWltXwXcbFcBqG3I7T9KjbuWuoeobLQ6jRuzXKph8OiR8XF43bfHSZ0pibQ06H4QApp7rzU
0Zug9WpgkKHuZZS+C8t+bua4tje6WVDB4Wqu1UEoLsUNo3ksgjqi0ZyWCS0yzr3FmbBRUWFf2hrR
OEC5m9mFpkXyq/Mqc9o6M2sVaUQYLgw8tW5QYb7YkEsNX7UlD/eLMwBbm6ryG29jT/ljnOyi0J7e
WCUXfsMjk7ajpi0+WG3zuaEutbuDvgUD3i6qc6nnw7OKJAYvMjqcBfjEQSzj8ITJRELe9qz00A8V
xkda24pNqg9mcWAcs1+MIlNnNY/RL5GZsbddui4PHyBe0u9Bc82AIxg+/Q6VL/6aag0tHwUP3+ea
eeDtkTfPidStI4lqO9nYWE+pt2UfDdPakfl3LeL2ZLULpuVwooMXelz5uxmqwdsNuTVFeyqjXJAt
GX4uJx+ZloZovI2bSjuGtgm8heahfHyqxyRknANaQE0kcWuF/bFoAB/QSnwaZJ33+2m2DEa7Ra/T
ILO4i/sL11zdF1ht34Z0du5IaVe0lgI/MaLQKV9cJkk9GCc+KLRXE+8PtUqIwOEx6P4utNkiFbJY
e9GOvD3jtyXR9K+uz42ta1Yp/Jes3Xl9zIVVwYXhCKfUrmJ40H07IuMqbSX4jHqWx7EPrvXUzLPH
umPqLdvHH447027Cx2LWYILNDEWENbjfbekqI1+bAxt90PvQsTE6mMTJXUfY2tlezPRTAoYdDvRH
9dnFtsLFdyOOHJ90FB1yZqLLzYLkfR8mWfQMuqHMgyGa6F9SVuJVgSFYUGw8USIjwzUbX7x5YXQg
pZng8+A3n2yX2pYP+dRoJhNFWTR+Aui8DuS85tpNjLGPSWPSXsDZAD0JUAB22xg+AlWzLoQ9fhWJ
3JacZuDunWQ6Z12ik4myFw18GKTFaapqemy4H6iDSXNLuOsa4R3wFSffkoTmW8ks+KANHU2eU5Ms
v7lz5u2GFZLJHIZWUwV8i47Wqz5djkZpZ9lBiTU5lGC9nXEOLCYVPe76SyjNnuEmK9J7lS0zF4TW
sj65367wprKsn2fwKpdKr0cMPtmEZ8LOOFrpiwZyg+xV3E6ggx8tBvnXkdamUzZHnrXTNfiQaaG7
RArcXg2XzFvmZ5RMl6bFFCYKkd62qQ+T7N0fZ7TnA1KsgQk6ZjisiO7mNIjiAyGrGS0VTlPHJWdN
yeKdPadsQOwer/z97Eq4CtroxBeQSd6HXE0zKRXczdVH4+CoIdUNkeLqsglXw43FIReEVxNOgnyP
5PuVrgadZLXqmFfXDuYjHDyRubhv3WrrgawVsuvH6gMaDdcPwMfsqE+QyDljVl4EHqGZklzS4X0a
BXNbpP4wMbNpTemcjMbRzf2wOo6K1XtEDgnyiRFhSKKOnSqyq02JhaXpO42A8+SEy0lrFnol9dXb
ZF9tTvHqeJKr90lW8XKYCr2Hs8jyf+25hIFJwXyxT6MKQQCHYLfv4mg8a1dzlS5Hyt2vliuaop3b
YfVhAYyJvu1Rxh+xmp+1q13LvFq3nNXFlax+ruJq7ZLOOrWSiOaUZPFqDkcKUOQXu2OsCUZJLdVp
wCpmrJ4xc3WP2eZCvyyw4+dcIkELg1jGrZU2w58YJTGfRc5qRJNdjCktvhrUhLmQlZ3duoAnt1rY
KjubviITX9tol8nwWkGRS/ayMqrvRlh6+wAEGkOcmWJ5PNlXoxw1g7i9oshD2LVXL52Fagzg+mqx
C692O43rHHCnqw2vLK3hqbma85JMA/tztexVV/uehZFvoOG7Ogn0aFaz3jg/zI4FPM1a4gvUqeSA
vQA7YDy1FApfPYJXu6Bjx1gHV+WCVRbBk/tkaeNj4Ua0UKdacgi90boj3EuMu+jGagszrAe0VRP9
0fOIZzl3kO92dTGK0om3vTOaRB0R5Dh43VdNgzHA/pCNwdEtc1l+zleDJAet94yLl3zK0Fiky+22
vOvhFbz2E+Cv9Gq1tLI5p8elcnI/byLjjYyx8UrjtnarOhHtvXyIkFmvc6W4zpj6Om4SQ68bEix4
g3lA5gGPLCZTIJ3WWxeqTxO9KfYJozC/RmZW/4lzqXkzrvMtIjCzLnQCLhxaMpevTUTCdrzOxRQJ
xmx4dPE0/jU4A/c339kkNb53naw7uyBktY7bBnP3xJ38kyZzsqTM5Ok6nGumxcnfXWd2FsnM7/p1
ls+uc32Rl316m1znfe86+2tXHcC8agIoAoXDmbdqBfpVN0hWCUE5jTWd+1VYUFeNIVnlhuSqPJg2
j/IY5+UjbZDRI+/95bAMMK+odeUxH5RL398nbmL7nrLqs54ra2euYkeC6mFf9Y96BRXFrZuKo0qh
tb0VTR2zITNhuG+KuuVGuFC9eKmtpr+3xwk1JK03WPsSdP14OumFV20tXSp/UMOvjLhKswPbkIUo
Kw6t21YsBHU0Xvc4wkzYRyzR3mtEiSNadEuRmiyz6pAQ5aewp6Dze6vLGIuoPWjaR9yBWDqh2ANv
7a3CeRnpVtMDHBbkNop2gHiZuw46Lw/a28heh7PKUXRUK4/8RjJPYb6rECJ5CcXyQZ/D+MvkbyGD
FI+c4bv8vunptNhA21Y7/Woo/2C/b2T2HSFD/ZkLLidsugxc1vs2PoVWNf0UYTPv5Ozkx9aAgXQY
vMq+MDS44YnNrflF4MEKcoNxJuCSgb4ZLx6i85LhxEKRBTJplrZtkmsPt0XegKHxeMXIC2dWlm75
MBsNOm82fPHxlTcqy7t6Exs6T/fBLqNDyNaUVtY43406vTO0x4riztS5DG2JIyfGSXlQE3ZMxLoV
YBRLmaoYb6TPkLuQEcvMX6LjAeYvXc/8igxrr8BKug0ZlDw5v7SholSbbgxWEgnQ9O+hacVxiHvj
o5hKNwBj3x6ymmN+MWE+bQR4i32bdRi0SkDQhXAjLC1sAymWBKlXQfGT6petNeFd5GATk0YbYzB0
8XZFRDUphkhz+UCYuVKnpjJBCSkvlPClolJuUUsRxvsxghg1YL8zfTxI051bgznxoy4hX+tZLtnt
6CVe3cQbhE4YdyX2vqJenB04LHxqRK1O9I0jnNq0StRo0vfOgNpcs9ls2fULArIzrJHHFkIDglfv
rG6FRP1OO3TunWd6XXtwunI1EMbddw2n4A5+M6vFwtRZ/IkqYi9j4uL8tLtRD3JeB8JZNo5rHB9r
RlnewM6VD2wsIe0TOLlgQTpHjic6OoArvAxNQReXLX8rdgf3GdFPiHDleB6p/E3MBipEmnPjHaT1
hiv8m7cbwMYCcbuXyXc+JMVRkcMJ8sTl951yQ4YsfWsXdDgWQvEXGqr63uUxvEu6NvrFnYLiTQ4/
+WRnnzqpmi1ehXXhVFoBNZ3lFgy+OGalXj+FIDr2rQu3joMzqCpl7Y2kdL7ZJRuHUG/towURZCld
Yj+yhx1QU2y0S+lUeGqpn8Hi5OpfOD/LM5yl8RPOEtynMAP75nWzPh3yrJIRBYDG+HvpJcu0khg1
jFbhnkDccOlqUB1zf6Ap6JM6aHfeLrIRNH1a7aGauNNngLb2aVqPByzVjPtDnd2PJHluqdsR7UaM
+Xwzgtj2kLG75WdOFXaIjBskdo/CfabwV97MZp1Sd1jazMQ5YK060wOTm/xPrk3tvu1YXvMweW88
INqbpRL9RUkO0U6mVerXlhDhvqi86ACCeN/kLuXxQL6p5qgRPzJZdy9cd0lZ57Oq/ek6c0x1FDTU
aP3pWrEHhQ97ILS+5cPAB/5YVsABNgj1in6n1X5S6gRfEsFxiXKzF1V+HM2o3kMTkHd9RmJtA19O
801RlVx2tIJ1fQ/MK3I6gbmX+bR37OZ9bHXM7DMuY1044jH37O5AF8H0kONxIXMZFwAkcPg1uaW/
s7UkAt4D6AD9RelzOZs7fHYGnveR5gMc8NxoxH3crM4jJ0lO7GM2jTX3B2tyboHdjT72Zfs8C9PY
CfqswbNRV1lidmJGHhI8ZJG2HXgY76SnJz6c5+KGgyrd8pFx31jfgDGL2qbx6Rth+2xEz6Tw8Fgl
JGmfpZzUblQVu8PG68UdjmsXKGsq58tIqG3LiUtPlVXmu7mLmtOyRDVxWiOtuy1qGijMWH1o2Lae
hWzATkzNol6WweO2F2XWWzOlNFsWmc6rutBhIXn92zLqtg4ejeiEZyDf6mM8BoMQot7bS+Z8TWX+
Cfw1IWUNcACqTPGDWSrccz5Uj80ysmVKQu02t7AX2CG+7ZQHK2aJEutGXFd7MYnBh56EwS53bmtB
vS3I+IFmFY89ylqUJ5IzFHGizHrr/uidda/BBPDBKixcyML5XtqzxCrcUb6LvXOzCicp0NJ9PKXd
EZQD2tQMPOpVmoX4EPTJ6yrmSRL1ydlpOppwmDdg83GxBVsr5q8lya0XGNT6n2Pba8wDnrjHJrpP
pVi6W1hW2XiJBxgmfC3aPZb8dyMMU21Zxk0Hrt4zdT5pcZ8pYR7g1DbblkX4/EAzPUzWmdoAtzPC
DSkxUr4TPh7zGOoOW7sspTcQ4u7YP+gWMe2NKA0een8F1f5vB7r+n2vyNG0MSf9prXD3naj43zYK
f/+RvzcKzh+2JNIFG0BnlEa9/2/4mmv8Yev8IwzdvjZ7/i/4mmlSRHFdGzhc31k5IPP/nfcynD8Y
/CB1gm4BoGMJ73+S93LW3cS/LxRc4RquhXLl4iiR/+yKSAbZuHYF1IngZUNVUEEYF9edpl9ip423
raPoHayNcMsFLS62Zl6EN4bkoAjRTc5wcY0tVQoFPH9EF/AYNUAq08TasHFDSBJ7sxTtZTISgrse
69Rt1HWuQT53bE9s8Zv3JRF50Jsc0YmV87GgCu3QFwPxc9Wv7seovEtsx+42TdQNXoBYyeWwQEVC
JZ1tnn+m3fIhN93cPidTEnLxhaLPdtTSLmPaZg0JiBY/dOFN2g9lS7CvWM96X4nXEqfRRzxiIk1O
FWFJru/ZUt24wpJvoEfQMjFgYkRcWyOoIE/agWYD8EIBHs30Ne3yj3HRk0vSJs9hu6AsRcVw5ELV
fkKuj8+22cSPYdut+GY7v+hJau6ngb5A3WHcZ5KKjwONTUy5+rEjFrKjsnTZevzqtgaPLTbdtFiS
/RkfW54Cfua5F5cn+JlLd+KD/PzmkbZeaFBtsKilx9LgPBLOMP+alkrexLQ0g+bRQbb6CWVMUApc
yzplFTFRn8suBnbVw5FGbAb1oK0RXGYGDW0zzw3u1PU0YgwoYsd9MaJFv5ezmmiEzHOPoTUxFfa9
lVCA+ZgtE9TRT3pTx+Y4klQ4yyjC+qVXwHOwxK73vsZF4ClaOh/PY23kmNS4y2IncOyeBUUdefdq
oCPCl51ju7uSU/VECUfqE9AucCCELuXsEf7tZIfcSPUT1CUsoMq8TQYt/aUNvUlhGp2YjOfV+iMN
pAghkrzU0FS2oqOpMFPFcNcZTs5L6a10aHtyuU6aYzs8uQYO2U0BH+6tF6N8rWqDabceW+PBE568
k6bN+km0YXXoSfMcCs8e11JM/LWdbkZfjUjSB8UMtGVxHjVs+ucZIxk/0rBDR6VSfs5XEyOEwMcY
1vKhczL9IHG87DCKFPiGsqE6NLVTXchvdKxwnsw2gYE1DjsHK201QrCqsnm47Tt+xwZRiA/MGv29
qNqBe1mMao9WAEab9rPZgEc6LQ8Z9xLcpBq/Mq2t/JbkCf0PRDL2FJx2fKrnCUdt20ILwcBB+ULd
mi3PRo9qLF9j5AxsCGk/Thp+4DZqb3C1lZex8aZjVI/MFyk+k0OvCvsGizvhb3ZeasMmP7xLFZ0s
hEfC8gyBG9XTHI0E7J2eOA9lkqtXI2vjDtNo7lyUZ7Tvk2mXzAptjdPCwbJzFnXYT8fRNVWPQz6S
TLmD5c6/2Eom1hOJwzFQ1O5+U/jEdZiwl5T1jct738OexpbdeNOieJqOcbpaitJoAHxSWXam/wbL
Eno3JZWFaSCoLOSlqDKPaJvjUmmn8eXREob5JUYPCETfFW+GOdF2F1cJFZR6lqVMgqJn1us5ptGl
LD3b0gmRvzFjjPvewybjw+B87Rt6vw2rU7faqJcveSsE4Q1TMv+4+aR/OwDg4DqG+aU1qwx3rxbu
hi6Fd8wyzrqrjGn+KtldfeTtRAt624nDxKeIE7aOsBh29fOYmKwrc31hW+DndM9+R0NXPSy2DH9S
Tc2HDIvVd8tlnmukzhdGgzEiKGAA6vdTZAn1nKAYur7tKDcia1u50+OsGrR5R6lJ7hBSFvsYkSQJ
OowP4zZJkasOoTllYVD0Y5FfShQB81hgxCq2wkzGfmNk0fJM9mkNocbAOzc2VIU4UBAc5N5k2Ttg
jvCyy0SmhccL/J6afg96Z3pa1RBRqv2M6wiLxQo4yKO7XBX5TesC5tPsaZo2NIdhsuDBsylGVZ96
meLO7D0K8uZpKi7I0eML8bYIe7sn481im/WvvuXHAfTAR2KjRphmgdM31jkip7vsGqcA5wv5xkkP
WUQlmx8mxfxbt5t0xuM2e1/QAIlc1NdG6PraDj1fm6LxydEarV8bpOEaMBRka7G0chwqfICE0Dcd
yrV7mpbcCPv0tZPaAXqEbQzO4TFl/3Aca9MeL/naYk0Ym0+B0oozO7UEax+BcLx+OJpTwiwoXXH3
6Ez0Yqu81T+bbnm00dMtgixh/6RPGcYiHI6seijEcAa/AIGgNmiy8rONZqocMrgnb20vqOW2JVHZ
A2a+AXny2mqm4tVJTTdK5+vzOP9EdGi9CIJ7Tx22woxV+Nw9SUv3zg2fYfbGpv1oqMZ+05RXnDmw
7ZMC/oGi0EYALObL4uX25PcSkdQVGZGw5WR2a0ObMnLWmNfett5aO9zMhZpsHFuFwhzIS8m2jTlr
3gEm0Mq9ndvWnwTlaYWrrw1xFjWFLyK2hvWrUyGXGYWM9gkRk5d0Qp7dOZjOCd1VyBBbwjDdHV0Z
OKC1wfTe6KMsDgaKGBxKUC/WAT/yEPrhtdtOXnvuigKvaaAyBdeGwtG1Cw/qVbd1B5VjB8/0u/ba
mwfWD/9yO1CpVwmP4Aip0v6jWSv3+rV8j+oAevioylJPigX6J/4RevrEtbOvX+v79GuTX3xt9WN8
Lu74qZtTGGu6OsgajQp7b69+VE4TX0ChTeQC8PFs51BR2u1iZLWc2Hc1KKp+rMcc2HTraZiAu2K8
OJNeLz5pK9J0kTDqb+wzIgPsMlQnll9W7dtj8xsPTH6oWW/97umtIJg5QQgiKK+JFcEPWKWGnrRC
m/Tog5Lj9kawSn7TEioLN/qs0stgVC/u2AiTOTeJjC2Fa+IMejzdpsWQ9qRNym/dBrsq6HR5X8qq
OrbNungaEC9up4zVxyZmziFMhyO6QP/C14k2Pe/KrG/uGW0WPvJhpzFIW2mMn7zB3Jj0WdvjyfQM
YxcJc3yf44JsVZaRWt9qLpEGzXajl36S8U+fd3BFwmHMq23VVwvCwFLiBZiiogmWrkUXj0ys6nR4
4BHDeiO9IDTTdefWh6+IeSVjeoyqIddANZ59nzoBKqPmeM+F9JDB4qebMiW2wzxJJ4m+YMbJJnAo
lruWvBeoJITlOQITFtBvY+JlWzvqJp/nPg3zGe/KU+Ra4aGL8vqmYiv8TOSA5T4W3QBs4vThAaXN
fdXqzVfESovgbhxbv6eiwsEybMOsWj6QMH8GNsf4M/XooNB3qeNYvR7EN2gCWZNoBGyQ3+laTWIA
PXNszlsNHui7YfM0elsX0XRITZa4RzJ2j0ui8M1bbY7FOOpqCjxG4muUxHhl9lVHYkIQ5YAIKKzH
6MsaQCOZVnn1oeVx4Xc8A44T8KLHykvG17AjH46wZI7octwytbg8U7GELaDpsHwfNFW4hIbZ5RSb
0vTGZ0I1xGFEw1+ahtfiy6GB6t2k8lUEtPJoP62tgQDAD8bXntz2gRNIp7pat2p2L1ml7llzeje2
jgshMDG83kMCap90Q4psH0r87mxfyuaXTByGfFWn0Kq4oM0fLi7139gp+HQgXzbemQ8eF8OkjKtP
T/bqWRiDddPblnlfTIZ6cS0XJ6xV9+inViRnnrPk3vwBeX5PiGk68O4Z410R6/233c1ecqiWxDuj
wIEk1isHS3GK9xdj/WwRsEsV2oq54pXyvEBm1pQTvZuOKakHG0uK0/p8DUhUFrVoXNmMT5B7/cmQ
Y3QZKTWBhequV7ABwJafFwtdJLluwQviTgiqyJvVDa5o0kwswzAuLmjH3j4u7eKHQ4K2B0wql9zV
UyuYp6bc8jsj8jW4yeTTFRZnhCsBdLPIqV6VTIczH1bbT8gv+ENtGScDECFO28wmpdePW05V0EOO
ZhoQvWkbIRu8xo2jZY5e0ij3viN6AXnRY5l9Tb1Ib9paeCZ9hC4NO4NqjS+rJwaIykYwU8sQ00D2
gPAv6y0uk3MbztSsLWwAPCvO76x0Ke8rR6amTwWcZHtDvydYs/Q4tqr1BYfkp5frwKPcXvxKSG5+
TXlTEPh3114XMqhftVmVwTLl0ROG+OzdDAv9KRkj5j+HZ8gtFMpw3BP/VQQdHBO7Gx8s3dzhOMPp
k7QtdL9IbKdi7MALaIcRTLZflk+sWnNzQ3fZ/AAmDHqCXVtD0IN4Oc8RCjnkuy4nbW7Fh2nhchGA
q1xW+UzF36xduSzCaNg2win2LJ6WaCeKMj5H+PzupRHGMLhG7ZlMZv7EedHcRBY/BjcjA+9VFs+k
aXjgzviJn1nknCQvaMj49eGknLaTZ0dPTbW8/Iv88b/D+/5TUaCNkw4KBxlS9xy50ub/FSCD2bop
LDT/fQZN9aEeEb/smKp36tKcE4052HvKKQ7+8zddMUn/5ov0HB1TpON6gHJM/JH//k1NyhiW0Mmm
/RhH+Q23jO4ek1sVWDrWvXppgX/PszwqyFo///k7r47Lf35nZBODNI7tAHKG2f+vP24txOjkhVr2
jVsDXXIdm4rKSmrndrayBchiWH5fv+P/l+L+Dw5fk3fUf5Ti7vsy/fz6V3Pv33/kLynOkX/wxmQg
My0KUuXVwvt3Xaz1B0BX1DlXoiWBOEak+xu9ZCHFGfTEeo4rDCFXKNN/k5e8P4TN684f5M0upW7+
T5Q4FL9/vJF0R0hhWiYlDYJ/7X+QwNZcvyRqW+77flCH1sh6isolNgAuB/dActR5bPQ5yNmmEyxm
8c5JEB3bCXikp5eG3zNgvrrlLL69Fth7YzvazkF7RCxJp7OWlfGWW6jcMIiGmC3QxKJp+ZS9TQow
CaweT4WcirNGWXMwei71fRXhttZL0BQ4Q7kevpqV/Y0Tn/5SQKCZqpu9Cfp2bSSEptLUvePPYGEY
Ex3jJReJ5oKAi/MTU2RJI/a83HEEFL/7bPVmulJ+zQnPOr7feFd7s7YzbQ3zRE0k9dXUqSZsYf/6
9tzD8PXC7Jco+jyIFr5riMmIfA0XjO9Bt3CyNFX0ZhdqPGplZQWooPg0y+KhTjLMPnPcnVJjLngW
uNNdr7nuvooFrgilmLJBgEz9fUxE46BlsjxX0djTQKvE5MsSYDJEafNlZv7De8aOPLWiWxXTLGSG
Q7XXCuce7WJ46Tw9+mnypH1P5Gg/UJZOdY7uepgJGsuf2qreFjJMnoa0MI+eOb+mbFTvY8xoT9TV
iCPrJ3juRZjcgMUuX0c0VdQGCrgnFaF8RZnPaif9HNny3Maxy0zVJIbB6nZ0hifbS4tbp6aM1Cbw
zOKi91Uvm3fJlpKpea5/yyX8c05ndwkcb3qLaYDMYnHqezPbJrVhPAzsfLcJzW33UOm9d1tO9Q31
XPbZYjF57Psl/0Y8AYaY0dK45vTE7QyE6Ba7KTcOtGrxuxZ9Q5QSjKSaePBQqTiewBCHtyO8iAO9
SIQ8DdfAxaaZl2Z2fsL2bJjvcMp13EKe98TcW51yoVSwhKUjNmba11uKaMA5spgtaZ8wYPuR4clu
vXhRe09b5heTWnkyf2jCkV1hWVHLfJvPXggRedDZUzZDEDFV+WCJxqA3eIG4iJgQUkecdyRJanXQ
45AIWklxUa7JP3sivJCQybQ3ZuPtSPlMfsyN49jxVLiVnvMCF6sJPNKIu4SOi52aW+fZ4xqPgl6w
04q1ZiMVtWm+ALPIbM5UlLbMCM0yk1QpNc2f5h7f7YwRV4Ln3tpLwjCDoe9SyGo+mE3v7PNULwgl
4+Wc2n1hlWTu3KW+hG5oByJ1fdHJzQor2C/RsKmLhgmEwkxGUX80qy8Rz3vu9cmZi7q7qXs9e2D0
T5ifCRRmzDo2ng3Yt6siA//77Jq6+5FRNT8wVJXDg5E046Ms6w9bFl8lFWdiUTeqdH6n9LTdL2Hm
Hmpt7VWgfZDDZ/2KIN0tfzTG3K9ZzSr70aUxGdJs2wUN/rinyANRTikS2OwEoyWtxN/UBd/SCzZt
maxK3+glfWqwXqFgj0i+RkZvUyb1OzCinV/NpXFGce5ObNTtbd/Vzk9Hi8OOcj/rwiTMh0l32EVw
2XyyHJPf6oRpxJ69yVcs04gZVFA+l7zcusbM3IX2Mr1FMK2PlpPG2zxTkLZ1pzpNpCTWaJTaD1U6
H7NKkFsylOLysETLPuzD5d6NFrFjTKBO1cJ6MIfzRHkbr/acwdYSAIloko27feY1rAhDhyqbubf3
Zk/oZGNLbOUpzZP839WMcxxnTUFqHmpDFb5xr198UkfgGbwReH4zlScyre4By3v5RQSuw+Rg6j4N
g/ojH3L2iexWwk0+NpJlKs27L/IvWOnKLc2uCNPQjsnGAbtyKVGEcp8OzPQTAcnvySterLFptvWc
7LXcwFaXqQNilBPwwBDvQ6k99GuRFF6YEAZyDI5qVTzgrC6uTN/B7S0oXW4KEKCjXKFKqZBqcw/v
9OqSsNpY4S2C3+p0zEW0Bif7rhT6vXLybaajacWR52OHG2g4dG76lG5dWnMBQFn2OV3gYrM5eyqX
YTqLKy5WlHb3RFw9WeXH74xx4zBWkRGExBHiMnlILUkbV0qWYVktGInS7V1XjcveWtm0luAEFyuv
diI1S/B1GX7Qth7iwXlJsR1ghOULwD6o5/c65digZqNIxWGQdI8i4VAe02G3ycOWLLlalyvgc3Gg
i0ddAvLgq/u5OxzCIfroMk79PHnmynpLw962WjG8RR4VW2Y8fSNWSG88gettV3Av5n376KS4i0N+
8jexAn6VlY5B0rjZkafEoezC+inK4QDPTY/1xBhWPHCxkoIxpEfnRs7dnQPL/VzBF/9hQUEyDSgY
j8GZjc7KG1YCZcNZlPeoJPQbgpZbqffvPaziMC3Wuofl1iiiS0VPAI9ZwMaAwGEce01SYRlPOVTp
R8PSCp9itNQNmx98/Ni5AUIT200t0ILpHhMLI2qT4l8khkl39NIdWyI/9MfWtJJj8OD/+iHp74kd
VjZ+izmYgCcrGpubGgvxZNHi6MwhFjhYFGMozLO4spyHK9e5qsbuc+Ex9JPiQcY8AwXauAKhZ0qV
ebwR83kmskuo8EqRJhULUXrMk+ZhHvQumGvWkdqKnhbdml9PyPy+cvSkQVPTI6KaEgq7OY97fUVY
L6vrqocF4FMTJ5+0LJ5wgc5LsQfGEsaBFavnGhljUo1752qirzcEu1+JS1CHXHFFifT6J6+n6bku
MGwyz8tdb+c8vS2r8B5YvL5OznBflfSvUfxyyxy5w0gNlcjq32mne2mXAgdqmVkPhvCqXblyvXns
AdS9wr4RdZ33dCWAV1wrIpH9TmN7D+LmsCiAaYlzGLuxR43FCRcsdkE9DPXz8Kuw6eVodFUqID3q
1CWQ3cSf/5jp8W8eaK8sxb6VsPdYN8Qt+IpmFxm258u05r0L8o7nLrewMCa3I50glct8qZWt+yHr
oMCa7eY2FPEuRzKM/4u6M9uRG1m386sc+NoUGAyOgO2LnKfKGlWDbohSSeI8BoPT0/tjtTbc3fDZ
x/viGPZNA0IrlVWZZPAf1voWvgNPbYLY1tfItOeVVzeIxgwGQZsUQ/sTx69/mWaFIbfrDZt+PoAu
KKg67fhKZHtyxqZrbJJ+kAdkJ+Y9Vdz0WKX5vLP7wbkTPirlIv0B+5vnzWjrs+aLXje5vnHhHp2M
GKOGchy0bspSmyW77xRayeIzgkUtjd5cA+F6JwG+hrMD9JfOnUd02LiwN9lBNModN9UcOxc1hOKO
8rs5sWmyDjVkL2j46bkwxuZNYwF/hmXqbwCtx/ChJwNbCcvuh5bG8DYIBeaztHr3cwIinKCttwNP
H1Ti7pEVHWiBpnttWB1jGXE2iYX/eSqaPZHM6Sk0hfHiJIX/WhaDsU3w03wt7XZTuMuy3ZlYFJLE
Z/zETM0SJhHuPXGe0XpkfsPoj2HsCRZMfuga1nW6dw/Yllw+1CK6AEBE2ufzkMJ8spFdqV/quGsu
QAnaN6IG2CQ6zTJpdhuDg2fBxQ0ZsB2yXbh2EiSrUxGuMVcA0vcwQcxIyPZ1r8Ov5RQ39+je/U0T
Y/6QbU0IRRKRMSry4aGy8vKljVr4HPiyFufb9IAMy1z1SZf/qArh7QkoKH8FDF3241AT4N1QQbOh
sS+WsAE1zkZZvOOnBrDZzykcCnaFZ/KVk8coospjDtokz7BkbY7amrW9DqOryE1zH8nCvAqwEhuc
/+SGxEodwyWhxvTK6FtJZgrqWLK4wHIUP+xGB1doJ87zJASSnm4g4F1qQPmKTISM0fhjRazvafD9
xS4kkp6PnnEdY+KElFisg0otD9cyvlepvZtbJ6ZgU+qZ/AE0o2ocrh7A2LU7NOXVVpBBCqRm2zkM
fw6EW6GdI81gV+YTpdsow102u/6bGFtWV2UhH4bZVduxE805UqlL/ek6h6lznG+0rM12Jnj1Z91h
xgxoAI/x5Fe3bpQk117EycGxsZV0dtmcKhmYPDXsYAcwlRmbldxlxkDyU0Rl7qPHZy0qGHIBUbta
c3tbmLG1KLYVtpGuOJG11TFqs4Jjx/D84gxt9otftNmGAWFgEL9swEYd7CuEhb+ccP7oioyYWLjC
LNj9iK0vIjneBW0tEd5UjGV4DuPo2mcZlaMIbizyODeuj9wL/ELygkR32gxz/lb5hETj2fBuas0y
0JnTXckubl1ZajgvTT6wnvIn1vM9TMjgXHXBtA3bmLwPcFrPcWwZEns8eKaYew7JJ2N7hGvlRutW
YAWtMsSEVvk1ooAP6eX658h03JXRmI9kQYc7O9z5Q7gXWZOdSL67Twd340UDh8tESW6aO+xyE/E6
c7PrIthSchpvU1t95/IcoeIUxLUjamUH3YJE6ABzDYFr79tZSJYC5iK3lFyoeUjUSZsiW8zjtzk2
rxHn5zYHLb3UBskOzQ6qwNqwtvR54QEBGWs+O2nv+zpPYBeo5tCrYN4aTloceFKkJ9EzdW76wr/V
82TvSWdHMuhEN70nTUj0rRmRI6AR/4LsgRaWpZCZSTolPWcOrBdycdfjsjJucqSjUB4iiAEGw9DM
OcTVJfN94I1RP1wKjkKGl8bYPyonLd+IxubmkbEICQosZ2MVxh5MRjNuRnNt9ul90QrjYbSdoiOI
wO7xvywhRZSZTg/mMSuvaZeKbzwBW7R0iE5ngrzWAOcbfwXMD1ouuLpXLefw2RIaomBP37LqEjAm
q6IkDgxCpdgDz+v2+GBcNDVjdprQyx+dqXIe5Gjbe91b7Yfbpuw1wGskbxUbRPYsBfTDuuZm7Dk8
+WiCc9iI6gi40j8E1sAuyyWylWCdbsM/YJP6YA7PvU6KR8AH9jXzLESFoqzmlWu2t5Lv9N4qLH4Y
LArPkTX8rPPU2tIJETRj9uKWcDsQr2PIllbKnrmBs6ytmfff8rQV28KGb0L1QU7wZFyMlCyFDBfQ
juQZ7G6iMRYBDypwC284ZTpIoKtZB96jl48GKi4LGwd67xuzMLfoPRBBRQ4nVh8lB3xv2SlowW8F
XfU0utl7WxOeNSXGKh2SH1lmp0evacnKa1lesiSA+z++KJof9NN4KMV0AzPzW9WUxgm2SHz/nzL3
3P+sFiC7+m/LQPUDMTjyrrj7H3/9o/rjz9HPauG4/+UP20+m+73+2U4PP5XOeSn/0O+/+X/6P3+T
4f+jiaZn2f90ovnwnr6rLn4v/zLU/ONVv4ea/heLiFbA8IsWEKb5P+SFbvDF9ul0XQdOwCc24H/N
NM0vQoCMx04Dt8CSiybxH0NN+QWtIoZER0rTB0Dg/CtDTd/9O69AWILJPIawgCgfNMV/m47jNxwN
xEVqZxbEpuyNcEGuWLlDtaeCyj1C+8AWz35dufvgE9bSuMSFbYqF4aLawKDJsUgKtXrS2gY5yosL
Ui1Z0+kAgPGgABA+8gmGSXVh6UsALkZ/gmOyxhu6PS5IJnF9jwuVRTyoLb1wZ3Q7QCdIyGQ6xoEi
QEHroqj3Lvnvb3Myko0twE9FW0DSVIAwgvHhmmUYXUa/d79LVtBbzAgDcr6AwKhMzDcNXqotFooM
mXdWbetGZw+9BVOrt0wDf9eC1DHz0P1eZF35arH+b5mV6kVh52BR2UU2RJ7e9NKX3C9wgzd4YYGN
DgD59l5fjI9qIfngNQDqYy58n2nCGFBj9HyTvj1CzsF8AKyTLTH4qU9A0CcsCDR6jJ/hEyLkfgKF
+gIf6qpv4aqsolLWtxy8DQeK0MFb/QklApDNFj75hBUNWbOYn9FYXoGSOW8+IGHQSUMsWC0H3OdK
ySXw9BODZKA3l2efFCoSa1n1i2MFlmFtL3Wl1h1DBzz9il+A8wr839gWuwYp5XfZafQhxCfdMZ+z
f8RCjF9RqUNKAOOE0mBgHXmqMZtWK1kP4zbMh/q5UCVksE/AU+GQEolsqmEFas7aeY4/aVBATDEN
zEGykAvt6kG4Udps+QnG537o8ruybuL7TLDo3oVAwg5gv9VeLvip9A8UFcQ5z8fZomFU+QuuirFT
355cMQhjzboTohW77Mk6kGGSvjtqYV6R/QX/SrDaZYHNHJ7vDBjQioEw/qimZ6lOxPZUrygOIXbV
PDSWRM4FsxV8ErfcBb6l82F8S93Ov0BdCzLKowXU1X9Cu+JgQk6hMndgyNSCBNgPf5C9BnruLfkn
CxavMnoI8IG+0I9ZywTH/5qlim4go9jh/FdFsQ76Yr4LP0liQPwqVvtKHpIFNEZkSHcee2hv+xxI
T7ESwi/fMBhnZ89bSGWiat0PjC7eRnySzJi/dacknEgOMkfYdy04hy0oPPctiFIQa4WA2bGutAGW
l/YggGhXW4AFG6slRGbs0h1DB70zK1BT62E2QK3R50cPuMCXlMQ4DV5NfHIvKfa1727v22dv6AFL
mAu/LV1IbqQJvegel9S6knQUUyfsd8/BsH8bgdZ1mVEtWLhgIcQ15TxMSCS1fWp7e0FH5fRtO1oU
/epUsfpOWCI9Zf6Jnms/MXRWNmt5yCYLPF3kmrxziB5R4wCjvj03nzg70EyokWMZiH49ukGNBeYP
/N0nCg/f2gAGc7TFxqotYHmBz/Z2xW6X25w6ZwLKYgbA9RDjBO+VbSSYlBfwnrUw+Jj5iF26cPlK
7nB6aKwIH63rVldMvc5+NM35OQ7wNrGVgPLXLrw//xP9h9kSDGBEqfnNmEuig0p7YdFXwcVHK/OV
KwojTwGxPvwEC/Iwmd4yPeVEN/qAB9Gc2B5LnMjaIwUrg0Vf/JG26Ae9SDXraSEYlp8wQ50KTfvS
LZDDKHfnRw4bp3hCtRy++6nhX3EBw0Z0qR9OKqqzV0CmrJeI/fbwcOaF8dIscEWQVCYzeOb7oLRq
6IuUxkCguL8vpmlVPzrZBDTXn9xGeOqZ/2x/8hz1J9uRxdnk7e1P5iOoGFPBlUSid9MuWEhvAUT6
n6xIMeAuLmhwNvYnS1J9YiXhS0YdoEm5ICc7q9bv+YKh1ANASmtBU+I5MR5tjrMCIUKDwg6aHHJO
4imsrZ7m/h0VmHQPyYK8ZCOABBrmTM/GowOJucAxu9xjpyFwd28F6WzloQ07O3k07WIkUpqI7mem
DbA2deznO5TH8piNFixOrHHUn9Zgih/MMb1b1IDym2H0xZ01CULemlE/5xBBkzuCKZkqEAhLqyKd
ofyWLjBQVJsjYXoLIhQIISSDpK38LTwQpuN9nw/eU7SgRaHRWcicC5JEnD/Yo4rgl3WYRnqN4qbq
SIYIHXYElVdAm1/4pU4/Ia115vBOf/JNvQRP/sbvPE4te0GgqgWGOsgsxNhLU2QVQb62F2hqtuBT
LcMiRFb38RMkd2Afwu+39QJcDbNOv6mJkcsqKhb4OfQP2v7lPjTQz3olfX8rbwHTPWgI1hvpNi9V
hIwUbDFcjhQRRpU44TnBnQhuTdk/xjglNQtKHLYvNF9dX08be0rAy9K+ho33Eyj69y6yDfx6ebXp
QpJk1pqRNdle0Wi/dBkN17aqOYlRuKgAZWVlD/JoIyqSa0ZeaX0cbHJQVqggAfVLw3VYPuWTRGCG
MHDejahYx9UY+z+qqqkATIhOPMe1b5CxZnaJcxiAwY1XRFjljxALAfqunlLHjmE+Lq1cBY8lZYUU
mItQNTW2Vt8QDxIzekZEQpguN4Ta5DJJjxW0+W2cpt5D5kBwdfoQzzd+rQ/kY9YvPwm7t9yXajPO
k/puNLJaM1qwk81AqKRe2U7oXj02K6syGEosgwCEgOe0oG0uU1oZxlcbljsplUOfVGsfoV65sZqk
n6/NYg3YFlww0aao0XZto7CTYtu30XisE0NeG0htCSg2GSHHE1qib6LHPAazVD/9JmSR5BJsBS+m
zo9FAVVkzYnQ40wdTf92nqFwwjNqg5throOLSaTPxFpRx9+LWkl8/q2B9Qux5vfa6kjnAEkzfTNB
6qYbCPzIfNn+4h3WKDO9Pc0U8SqdiTjuGKG62ReTE460zxCLRUtsyUpn0luMqu4pK9DvIxGiva1c
Sz1TRGGgyAJhfahmal911cWnHDMv8bKWjwGPh9J4jdqAdWnOPt5AWeiEAjSJSG+1h0FrJV2nA3Nu
xPNGZF3rXmjBCqyNghBCzWEH5bVdnn406NCFR5P3w30z3xALkFjrETED5mGswEMwV4RrSs9D55RU
R59ogNd0aHR6wAjW3Pe4aCFv4MiYtpq8U31hPzQlt9ixo5sxVUDDJZ7Rd9YDzb1VF+5DqEh7ZAzm
dmxA+plRfqEtrhNAJvzOMtfmrlfppmX+selJS1lyEJ323omc4axDPp51GIs5XnGMO8/ZQFXMkRGD
QE1MYi22fmz7xUvkpNVPqy3ga2RI4/gr8LTaLciwGQ607vJ3CoXwYepHrBQ+sGFzVTVkl3PbBKxR
siLxYIQ3KaMVDuiJjIg07p6z0BZo5HlG3+pqCs+l7oFLEfrws9COeBiyPlYbUQf5fTyPxlerMYNn
qx9xgfZB8FPL3vw6Gf5w9h3HeCMeEX9d2KTz/VCl+o3zl3LBbjrLXhe+SiGULvLlATzK0YR4/0I0
IRpqzTPmBfkJuRWYmjFBR7mZZkR+J+zpABSRBhNJNJVUyiZ7H5O9m0/wUBm2B/YNxcn1evw3VR/L
Y6IsN981ZD0iIo95usGpjZuJEME4Sk5z52ZnR9tTc9T2QnhM0pzgeh3kwa+encKHahlMLjiT0toq
eqlnO51iwNLxMLZib+JpIL9vamP7hPkKJ4mEEZ3uHNyXPTm9ZRUY71WrvMMEmnZh0cw5PqO4hMIy
rgGy1fMGkU3lv7ImEP6DA8+XtTxXGiypbBQO0KhQvzswdNUEsmk3dIB2uzH3thFhGsZ+LEmcl9xP
XJgz0u4L7vEaUbe0e3nFFETBSpwCcjrfeYL71MynLJxANgXUBHe5FnOJXXgOIuuS2+za9zFb/XwL
pkNvLRPEglzLou/pVHJMaKzByrhpmpt4riiPiECBXmWJurCvXSrL8OQI1ce3/uBpDD9JGA6HVLEm
GMl2ucev0xg4w6hJsNUSPr4PmsmROzXOcXJkpZhAgI7qtjhgEmLNT3zCpL4VMw73APKEu+x/nfAb
RnWySr0xEh5FUidD8qiSAasPikdowhbs1GQtrClhtxRNlvlNuj16w7ZrBw1lpl6ol84UXHh8E26f
+UKf7KkQAK4dBW3FtLJ9h7QY7UTojo9xCTb8OCXEOO1iBvD+qgR/kd5Utjd4a2beFdkgmaV2MGB6
Y9NFg7snCCYI4VihidnVGMYAeZShF57KRk+NBczWMpEJVS7Ae4M0c/U2ZpTbdTNOxU0OA9HDtobz
DEkwOsj6VJrkKh1C6ANIEZ3Ci595SLnqSAJCSZljDsOFvY5vgupMVF98Bdpqp98F93B1H+lu2pRu
vbBxmhDLganc/i5tguAtpbgD5DyhAtgofh2IJ20yzQcRsZk5xyRukuAdOp7NnsDrdh58E1hRfmuc
0WC/BSmLklUjwKHHWc0z0Q7rb4YcGRhjprlLAYOk4A40KOtMcfEEKJdXs+yhJI8uod5JCJHZQmQP
2h3Xzi8EN4Z1FBiljA0jBpyJXR5PH1PUSoniULBmQDsDraEBQa/xKq21G8kFMIUmqZeNYa8GO3/Q
keJsKskEOEcjdyxVS4jSJPSx3K8jI+q/K8/XSySZD/mqclvgJxOtcH5IVIvmVfVT9KwiGfF9+MtO
JEeQfzu5MrduEIj10YZXm4zZy940Nk1aBZD5ingkm601F0MQlIKGox93cWOpr1At6JiytG7fC6Ky
j8BYjXXueuHFq3O1UCZnQYZ05ID/mQtH3jp5JB/YFdv7pE6LY8pmdSYrjY/DHdwWyerYPfHJBwc7
iExeX3kY44ZZHWuzHN8jZUbP05R0LxNOz3QPwNo69VJ4kLSCCXWbj2w1AlNNEjAieJNcZ2EWIB6c
GsAJ+Rj5NdAasc4smfbvDH4xSDVZcPZZTkLXIsUGVgKe1Ib5fxdsVBu6zaYjYgz6IyyzfjMQCMeJ
3QTu9j9lbvnvWqf/Msf8f2NwKS3XZdL478NWn96LJP+36/sP/efJ5e+X/XZGm18kU0bYxpDvMEZL
BI+/5ZjuF3SVFpGWzCB/DzV/yzGF/GIHJspiUwYIfX2HgePv0aX/BQWlxatsG5MJSyv3XxldLirl
P8t6QaRafsB/HN4Nzf3im/54JwskUv/9v4j/2gIj0u4I7oRj/U6w4MGp0XwrbBkRfNkRSZKdbE5/
DJAEJP7pk7r7403+rdSkKyRlx7/myr+bsrHdeC5ydz4TWH78on99cwZLJkm02HlFbhAGtIQTGV08
rdtRjatFnMbMIiW3nAfWXtdmgtdNmB8ctdE2qEds2nFnK5QbmGeuvcMGZJxH50yHj+DeSeSpabn3
k1YFN5KE241uJ+ynIXaRCUQJYMi29u4pu53spl78JrgrnySTjbXHIuvaezPZRDOP/Fu7Yqe60a66
oXTNEnjLKLUczOQLMaxj9ark1YOG94TGgNqlJmXsvp14Xlu+Mp48fIjoQKvgdpB4+jxP2tj3lpGZ
YUxf06Rhi+ORQkbeGsmUuav3HCnOOWBGsF+ILsfZZiqOuNIwKI2xk2QH24PY7mEcUZvWSDR6UJAo
8txQx8Gd8GS4jxJqWKRaYBMpSf1vCOowrGRWbT0wuonqtWJFxAlu8KkpOR2mPlWXDnEX3VkTF/co
T3uYRpP5xiRF0RU5RjmtCffjpSyDhlfivuIMguhQPJZSvejGcEiRQkgaWN3ZL+1zAEvlEKWtOvSt
Dx6iMb652gxuTG2PLggRvDK5VtrCyZLCmsA2MXaHuRjHq2Y4xJeVZecel8SeyM5sbwElWxKM/epS
src+ImRlgtHHw1Mkq3RPp00EZkv3qcge3M6ar1uJzHzPS9fcIvFTIaTIYtxnRnBbwL+8MF2Pdhkc
qxtpULRanlPi3eH57RnKPwhSD7YBd46zGTstLlMyxPUaqxj23nQIaySGCDPytphBRuJujDycPSg+
oWDCk9u4nVYvbiT8Fy/LzJs6rbmmI+fsiwY57nKd40PP11Tl9o2c2uCpx96+igvdbaCXqK0kOYYB
RYDxPWriEZSXr548RKDBygH38uhH+InBjLjQXdcECKHzgZ4qCF6kzvqW+lqKXU2InMlHbJbNJlOw
gLaxGJxsZ89zwdBksOx+h9F8vvqlJ7+Xdtg9mLKkCvGw/O+nEvXJIEPvJ4ml7aM3qODrMtRGzRdr
4xuM9/GS6MJ+kmgXxWasxsbD/wCud1uOfdXShjshwYWG0exd8grAEAMejHhAYQ89YpwavtfTiCC0
Z/F6SVvRim+4eqb97DnTOnCEDwxvdtPvamzzu6FI2ZJHOn9SieWQ09UcVckkARrIr3mptot2HIBb
SUJNsRv9SPDUH6bISW4gLMdHKFIotMKaGXvUyB55K1he00l4pOpRdF/dwQo+0lCGR6Ny543hUAKU
eCjw8ajCwfvWpM0mQRx5M0Op2mJial9kmLOg1oNAvDM77+Hclzvi/JJflisEQVND+VAavY9wIhDv
RTS7d0ITzBjGIR/h6Kuv9HHVPu+VeSHKvXiNU6d5JqdGfsX8YR9jxdy75hEebpysB+iidTbsa6XA
VjCnGNU6weXcfjDDK6NzLNuI/W+a+/ZXC0HLsHV45Ws7EzdKK/QrDCXJRPZk6nkrQFbOB2wyM0C6
JJ22eOaI+YiZOARUtP4m1S276shsaDuccXIxshpBuxnTPnnnShunVRmSCEOMQpCYGyPhNAZygM4h
RthJyliN6WwjF6e0JogruHT1VJxmCZt/19gZbYpvWD6xl7745hhOwERt7o+N6YUvSkJk3KRGP5AS
Ug6JsUXwyG2D0Sx8p2ZeAhuRi54xnw3POi077xjSVYRUedl8TxTqEkAK4nYbAqp+L9OxvnZIM61T
XPjBtjemtwmnrbUhZC3cl31uPJZa1j/R7faoXqt4O3hWr7em1oiBUBl3KJenonzl4kccjIyS9TsD
D5KdiCFkd6SdhnFpM/QuokevWbI0ugZvvz3U4m2se7mMDTKxGONKe0XASfdmlIiGtx6EwheCoMzX
JgGsaTaz9ZHozlpLew42QTe3OwCL6nZgwv5Dybm6IpANUpSdxLqi7J6BxObz4iGP6NvW/LXkzASZ
UVpUe/IJnS6W8MHmpl9VdtfQ2Lb8AGA/skVMOTNtHATWeqCmJBGvMpXVSNDxspsrsv5IoYfBUOJV
jRxNVL0r53HnM98w9gi3fax7y3MHk2/1zKMnhCDKAE6vq7Gvv2ZJN58zpAU7vjJE2qnfkYmbjxdk
hzzwmI0HK/h03QliMJazPF7i8oqqKO8oyQFB2NwO6Cw8xKlQpIheiGN2+Z4k644wNEp1BPCw2C/F
1DK8YPhyLoJm2McZE58Ve9m0XON9gawZ1DJ+MEQgXIZ9s1rwI4O53OioGHHDWtvIDPwfhLpy3eqJ
NFkCDgL1q4VWyfgN9SAa2JFwC5NGYw3RJX5Fj2BvSEHs7o0Mv2bnjncxhJUHsK/Rs+gcsk6syVuH
oLYx0ccWM5CycNaxF7QXFUfxrfJAffBxGvZXGDT9Rw8jnHsmaT3MkNEEGCwmmxpnLfHg0nbaG3+O
LxjOt4wseCDrBhyhWdVUEFb81I+knhLGw4tju8muVmUg2gPNdLVH4RIYiLz7YezgFjIQNM9xCCCt
KLAcYtxnmQeFdrEIU5PtEjMq4c3ID7s3nA0tzG02ReaqWJCEdlrzfrzQ3fVh4Z3QGFd7jPbWuqhr
0o5xgi0LjNK/g4+NFsNVMIs3mYUplM6trs7gM/1XnnJoYiouKuogCqFfBfy7K9CzMT/6CeBd10pd
ppASFzpDLn6goxUX6KksrOskH+n2J2sHv9vbftJ9aJ/YwF3R9XRcfVvXB0SK5gUnbY+3mdTdep0S
p+RwtDqIXAOk+8NxMRgtdOSZai0jS5XtxkSy2tTNeg1aVvmUfA7Pw1on+qVDQPmCBynfemTpMtek
VHFXnbsEOJm+byfbtDHdD4KQvHsbXMSzmJfIoKZPssXhXOMLtqi+tq0yiZmNCgVgZ+i5n4opCO4a
Vc/XzGz7Q1t69h+domlZ6S3GWv91RPJrrkehGc1nPvaUYzgmNsoXEMh8eRzg9XrZwyQr2LvtzyBD
Gkgmk1Xgfh3S6REPF1x1KnZGd+WUms7BHKv2oo0gVtspqqpLnBb1r46sA474VJAZyPfC7iskiZqe
27U5xNCgOurSNkM+3JaF7ZLmyd6kxGvb9zOmbvIGbyNz9MtNCj0BoMo08wGlWZAgyqIgdnYOvuvH
vg1B64O8Jhwr7S2rPwVu0/s7geXh6ld5cNK9l/uUPeZIBeySoSkmOzvVaLAV1Zrl42gcrBcSI13m
jEHan4SNJrAQ8XiZOXQII+So+IpCoC/PyHiwGpjJ0AwM5dB9bND0tZSsgAfPMLPhEkAQGGGCzwxU
PZMyajtYpUrYk/iqx+DqspzmOwnaUzyF4UtOBuxzSxZlciFlBa+40w3RMa/wWCLJMn6aIg0Z1InP
sB2jPE4jTfq68uP0ldUslCXGJd0L33Z9Y4sZVuFcyO7ocJgfQpVb59lGGxE4YXcpUPliowmX1p1f
fTvxQ2iWq/Z4rXvy5DdeHIVEs1Ee6Q3oWecJGg/b2P+gHxN/d+bRZQamcD2JrdUXyGP+2o6x+IaG
nthk7pA2yG4l+l4m5SMDpFcZFI8wTXiweggLKTK/KQTof+ie/hAV/W/6QdQ4f2lFl7d3TdPHRYVd
zzSX//+nVjQLlVVkg9FtQY02K/KIywsffn7+513nZ0f75453eZvAWjpOk/dxgr81nZOae4ugB3QG
Ecsk3QMXXHuGNPyDHeOmWGd9XVgrKwBxWvJ4svAVNhD2BfvDV2A1DjmTpb64ddE9ZLhwbpaPbO2i
PwKAg6ECIUq9TpYJKAHjqdfdMaCtwt3/3VHLXxRj/x8JyYQLww0g5D8Vkz39zN/L6L18//NI5k+v
/D2WEV8+s2oCFpdSMidnOPF7LON9sbC62gxsPpl0ixf2H2OZ4AsVAyIvBN6W75v+n4B1zhdKngBn
tA/gBInsvzaWCZab7c+Xqes4UrgWMVx4f6Rt/c1enmR+orDGRJQg3YPL5P1QdKO1rqjJdoFRDD9T
fyrRfwfBASwDqbdjrnZ97MoDTwq5C4hMNrc91yWgEfq+e+LGu53AcnjsFm9jnLO388LIvZFAMo/M
K6tdxyz5R2uF1W7Ox9Tjn6y77yoJTXWTLvy+VTsm7is9Z/zc1aW6aaqWRo98LoIGWm36Z2+cicwd
ho71b+QEBJWkJqSKaGhpX2yjX6GX+QiBjHPE+WdKyv4V6iRkr6q2cNcKN5l5xhGe27pofhuOACI0
Wrs90hSnX2Ew2fWakNmB5Vg+BlBACKsp1yV7stsMYWu1Tm3i68gPDZwbHfpJiWTEc76Wrdm/BcDT
oZl6SXesgzR8YhONLteCdEVmXuPG1ylr4ZhoY4TL05F/fNvxBHhuSychy65NzDOryXLVD9NVIHU6
0A4OH5VZFIzUc84rlSt122WjgROkBNA/5cJ5Ds1BXjopjac488xXoyqZorHC7I9T0w/3PTDjbSuj
6Ic/gVFaR+64/OA5rKiMn13HjCQqH6At4MCLSVgKzfmYl98hN0Pljk1KJKolix/SD1CXSBrKzEzF
LeoDiu/MI105rKBQ0HHJbo1WItlb1F/sE0V7tOPQ3/RqOIHGRiKrCYBgNxk/6BEd7ABLTCz8U0pt
NNUhiRHz8B7FTXoaJm+44YLSabhyfZoCl6DDbZR7qKjbYNOPitLFxJkczK178ECNPdeq6mBOGM1Z
GNSfhuEVLBbH5tZji0bkcTUx9xvkbYzZb4vLLjq4ujDPfKPh0TJUsyvmzPzWzPN8iu0ovIPgSthu
yoXaYgz+3mH/25lyVLgYMVpji3pqmmE9BODgwlTHd9BKB2rdtv6KGiXcRdq33xOhp3MCqJglJQkC
LlWO9Fr1Ypr1WxHj6RQexRFf07MKerSBpe4g3IBmTh6LcTgQ2HxXW8zr8Re7NSbJmbIDA+NKj4iq
4LPrAx7Gul5T22Xeqsbe/MR9AAgOitNDkDlueaDDSE85q5VX5Zn+E/v4Cv6UFNLf85cS3AajBKCS
tPn0yAa3ORDZ6VxNPj4mnR2COuZTyRETHZSTonLt5zL17atT+PIg2kVONBX4EUJvSH6ZfV7vWiA9
HcOHUH1HiUT1obUfPHkAFWEpJRwUaL7aBaPkTnexTdAPjQVi/xRjDuwqP7qryTyke2Z29TD6/gQa
ECDRlgl2/1YnKbrMxB5Ok1k6V8SBNGSDJDE8tvMG24EWD4HVeAd/bmAuh7XTP/kBaVK68IaDS0r4
9yBPiqeps6r2YLmp/Z3rO/kVu72UgLVEw1pvsuJ3EeY2kzMUqohgYs/DbADEZTILokRkWshml1Vp
sx+iBvnaIjrd1zorbxFfyKceje0pbB3rMSvIsGoNhHkrPhT3Lk40wcOW24it2aKO2WtTR7fzkIp7
NB3uHl14d+niuvhIuYT5VkNpPTOp6y4YSSUF09wcoI8u0R25fy3LAlkApB08UAxjzbMLjeRAoxqd
IeukF+FnJC6we8eI2hpCPJHTThwh+TrGlvvXu3pZV9z7bWQ+2MR11giG4KudqIaxZeeFicYJOfjH
MC8AuQL5l0dITrPGjbLGVndK2dlyz6foCJAC9ojejCrbJ8XQqG2W+PFJEk15GILyaqYtKB5hOMam
liORg0EnDqMvins37Ya1w427JeEv2cPoTTAfzeWjIqpq1amESUsS3BINFt0QcOV/ZDJIboYozHbC
qmZG713/P6k7s93IlSzL/kr/ABOkcX71eZBLLoXGeCFcIYVxHsw4f30vqrIKWdXoBuql0Z1AAgnc
1I2QD7Rj++y99ll6hSAS65qf2dxkl74HNpCWUcsG2/XP3O55D4X07qKwyVCEqSThWVSeywnkNQI7
eB2/KD7BFlfb3DLUwXZK782Im50XdG+pl9d7vvrx0cq8bdyIeGOkWf/lVMl3qmt/62ljomzAopmm
QjkHsUzCx2n2buc6UESTB2E4FNNGnvFoGSXb/1mWR2lEJ1MqbGWVN5rbNjem96leZNHIkupRRI4N
P5882VY5AtZL/jwX/gjekotNFdfvuTmJY163FDWr5HORsvIT12GI/DWO6c0gHXQ9ZLhx10ZO/2T1
TnoZe6NGYKnbeyXE2Q/c391YH1AP6lVJY8IK2aDDCQ71MqjEneW0M64vwI0ELRQUaJBVFZthv0vP
wi4DPBb4pePV6Eb5PolN/mdXOcWejpmTgqAHbNSlVIdaZkbwjRW0rA1RDGtk+vxWTDnGDHYQHzZ5
shCDy5RcyDz3+zK2GnMNDKF5atpc7edmCLgYOgFzQj925yKWWYHvDSoeLc/2au4M+7sAVZ1sOeJd
YGB1GzPMGJLo/NAl2HNrzTkAYhWS6SQ0RcZse7w/ZaW7B99rhwf4RXpVl2RT/YFDLIQsvmb5fqmq
4IFfi2oC6U7ps63h262jkIaStRUN4yuBza+Qj/vH7Hobxp6LGwfdLtOAJXggNk+Jx/25Yk9v/2ya
+KWqZsG8ikckzvkDOAdNd8RITqmtwArBC2zohgOgbYcK4lyQuZ9aZNFvdrnNSlrQfoPQpi6nMPyd
smv1Uvl9ecBqtc3RfE5ssLtrnUbyNXNx3xf4+P/aMPTe8fPUO+HPbB6WuGRyyFnAHIYypPyvZzMB
0oAd9sqlW/XKGQB1M8/6e9wZEAYZyF4TXJknQqPjqWE9ssGvbx7rwm05kHz3DkG6Ems8WsExVrxW
LrLiH9G45iGQrd7YmBl3umjYlxeWu4eTsZ/b7GXygPmwLt74LmUQta02Qi8VWhTpBeTmcLIWVCkP
6tt2Bua5io8ibgF8KFyDeRBv6IkpNrhUNrhdHg27sU/cap0jUXP3kBRRdXN5nlEwzUjh6oIlfFCa
u7pNKk4Yil5TnDyP3mxYdzKCpI/bLbqUaJVwhCPYWHkJmZziMJZ74l723VmI6a9lgQpnjxCZIwKi
59JBoIFNuJCzBKPWfZhVzq6UQ3NuZxnvjZl2XD1wqoTK6p9b0MUvEJZzWA1jvxus8d6ULMv9EEKH
GZOYjvqRSuRB2tssgiszOXW4gwwzxmvbHj/4of6OwpD5k85APPupme6cWJZ3Zg0yntebmLPjdWW2
ruvE39Fs4WxdCTmrTJz45Ee+/1jjeF9FLDjpho2yBwF6dwnURY8mhvS7AjMZtBTYYHQnZe6Vbyhq
JfKbuuMeUjyWUrjflNpKAghR+WCPwrp3O+GdOpW737R+hBevowGFDVbyywavcnZND7BL2pTJB8DP
9sJjMz8CGRs2QFH/YFMND35Je4500u6+dazgAzMwnUxpSXk5hWgQ6ic7rS8EDDHhKhggx6qQWuMX
rSeeHhhN5TyWO5odu0OoiP4arj890d6mqXhW3QkPebQpjbA82WM2vZKyLx/GIn6vsF1czajOsKAF
zcH262QzZfaePpEM9Sptdn6yJMPYpW2m2AKr4aecdHUkAThivyxhZ2EL8xJykpn7ZnKV4WUOAE52
PPCYH6t36Anu77DMsxPFdXyAlXawiGOwWc2yI9cO3TF+lIIFUNF5+KvqefwTTXm29hLOvYg6iw2U
uZ72Hc7x0QdJUPnNi9f28i1YSp6pFlw2xf2HUvI4y2zPmrU+WhBT2Ir1V07UEXWXkXdjup3GMGNs
TJOSQq5Z7Sqohz+Q5jrs5HVxStWSuUP4PtquZZ38EdOX0FRQjAU24yEO1qFJuIUQLnG1/GvoTWhz
wLmOacW/ihHWXJlDrv5MZDfO5D7ZEDlJnu3EgCctKgZSr9UStp8HXj5ncB4MN2D/FmfqipOuXMde
VX+afGCoJbV6jC5AEhKRUkFiacaJJjSACk/tpQApvh5lMv2KokQzL6T5LbPCmV+F1X5RzvEfLmPi
2OP53GAecqjLbJsXGteGp6yfsWA2pW19lH5l/KbStds1iVkf2Dz9JELymrz1WHDpAah+VaSGgFxq
OLvElfDMhtkuqCd094WQPHOT65N1rXm/XKzZ7wSSBj5ZGL4qFi/srTq2vRgDG46UCpgnLnHQf0nw
N2Tg79vwbixD/v010GZylZsQAyrjqXnKPGVuC78gZjseyIE/B6jQa/BLyZVkChuUvJwOOvDlbnJU
g9mpao+s79uPxqz629xjXQv9yHs10KbASFfRH3LpHJ9TVyJAKzfc8/bABCh6/wJIr77zaJT68IOo
YzZy3WNlMtJiCTc4BSfijRYKsHkI56UKsrQM1itlySO+SYpwL2hWWsVDhWcaXnWwi1Qa/DEp4XQQ
ed1pNeWR/zv0DM9fGWaQvdaMSNuapvn7lrjxezP2yX6KI2KSwh5vXhkXnB1ZyXahm4gqOeX8CFC4
P2XuPD4aWrMBcPGbrknGCSid/nycUSqeQtIWN+gRyd5TQ/1ec74tAFw6dyen2HrZwH4Dlx3G37b2
AN3QyCuipnpsQf4QQa969W0C/Xk2Sm/wV7p39MVzSbgQabBh2gLg+sB20exhEP9NspJetTjGZ4i1
yoZbY5nAMOyEQiGsGsqEsb+p4VZcRn8WJxUJsTOmqXjv3IzJdfYJSfF1h4GVV/dLNel9rtSSvgez
tKliWMkUWQt9zfy2fmC4Bu6Jr3s6qJR+3VXDIfokK8wmIGrc/Fh7RbAnLKd+pTUzLBWWWXEoROhs
SK0Gd0JaLAvyUr94JhzhajE0TzpbTKvYJCIVYWAM5x6kY+mJlauH+VQwnp0a2kLecSn3zyFT6GNH
ueSunlP7tRBjcgp7K/2UfsdZFA3zvTu7NXa82pR3NP5al1JTLkc414NbnLtHs+6xX1ATSYFmlXru
rXfoCCM2ZZu3wiPrjXgwj29OhgkGQFWoER5ax2y2MgR7b8za2toVy/cVjpN5N7HOvHCO1x/xGNWv
vd+4S+UkF4Og1cA6RfVAeC94gZ3gnwLlsunqelZNhiju2aAyYqWtpsHAT5P+3fJbbwN+N36gLFXs
lbZm9mND5n3MFjAZl4Dgqq2DHNKby9QJg43Kos5ptj6MCkyNnuStDW71gAISp8Z+RrTamRN3cH4P
Nl5sKvoFwB8FPF2RmzOakBftgdpUgMkttgplEGK0cxNkQKbp7C3xH38aFPMRI0gZl8IMvj02kQac
r23VkUk6v1zzWzPeGvhRE5qrLonj8pcV1OO6o0NU7P+u/vv/oNUOgRbF1TGR4//3drt1HN/aNtHy
puL/ou7++w//U911KB1hieCixeKXMJfA7r+pu4H5D5BMNJX7/6wc4Z/8U90Vzj+w41lmuDjvXN+z
+LsworQxTjj/HwjCRIlJf/KjeLT+O6Y7P/yvzjcvQGDGwU9GAtAL2uN/3nWYUdpn/HckzV7FYgdk
V60HnfLBBNI6C/KfMwYkovwYEXoZTSm2MWJiG74So8EusnWQtzxxx2ycrcA9wzroFi6q6/v5rywZ
DBC+UFPlyMzhLSRVXLSm3KmFr6rHLNzC/uViudBXe5s9M6nMnEwHumd8iEYvf+UuDLQ1ytFppVU6
/SZGOVxbQzQ9eiMUnpWaf8mOAONsHPKi6IKV6GnqZg2vznEQlvRZuWQ7pgrfCgViEpSvn8OK2Zes
U6g6JDu76vLZ/BW5Sf6+pJB/UYddbjxTpJ9NsNBq8wVcOxn9/Cmr0P09xqwp27ZTt4Eyi3VoZZSQ
iMXlZtMaWaVWJihKisrriEnmgTBGuoUlgHdZjGdptuTRCjpLCUoJUEDwHJwO7i4NItZn8APjLauO
WE4bJNldw93yc/BCfITZD8O3MuQLmhRgmPQH8pv8AH+lgP2LukEGdOEBmwsZOOUaeYKgb6zJRztr
qsD6MxtYWEkLVNjnUZ1tZl1C0EKfr5hsEK9imqLsDXsi/9IthOJkYRUzvJrhHgYZ4l5DQTLM+oVs
PIcWI5+rgXoAbAB9HPYLBtmjhgoovk0yGFq0vLQBhI4xBG0X6whrPUhJxkFvTLjpLmF6mJMVloYf
/DIg0fhga/4c6wfPjA4OqpmG4wah2KXgivimAiwShwwFMNq7r/oH9wyCdzxQfBHu/Y6FOx1ZkKGJ
E7Jd8H+A0fnCjm4XinRG2+dd5HX6OV4Y0/IHN+39oKdb+YOhXojUTeFOHzqM4fGQSE7oq01V/dtC
eMWH+QO1Bj+uflk+pGvHsYxoM9fwr9OFhF0smYcVtc6WWIcLKzvwyvFV/wC0QRwb312d0gUdLIRt
x4e17S3U7QA/Pz3EC4tb/2C5ZfuD6P7BdQ+L13LVLxRvWrlwdy9gb2NhfMt4GF6pYqif3Laaj7ZV
Lt/bDPzbDyDcqZGvV8AeTTxr7ki0hsTCp+TLtfxoBGTc+QGOmz/wcadnt9yT4YW55AInp3B5NN8k
zqJ3j4/ctDVhF2NwXKDmwQ/g3F5Y52QW4JhoBFtr5TfBgsJCLZEA0qNczB+DxHUQVSRDBvtPRX4f
lxGdQ5+uP9LD4iy89ZF+n03TxSOuez08j0NX38ULoT2DB3sqf7DtLnZ2Yn1Jvm2mUb/NegG8S906
WxGwLUkX/rv/g4K3AUthOaDkL5tsMJBjEB3Ar3PRgCJfLTz5HoTQCluO2ncLbX4WfvQaLgT6srX9
kLbm0FsbpGsFsWZFdBFwFF3cPxB70JELPXAABr8VUQZjU8QNMh/FPi+zH8c0oNHHsW1aGzw+R/Xw
bvBFsXaNIBdJjBaQQGEvWH1pLIj97Ae3j5u/uQIELIDw/wD5C1iJG8vAI9L6SwSs4wZ43/xg/KeF
6N8WWr9rjGprkApf2Q/4v1w6AGgL8s4sL2KqxDtmfBAyzYvZivQyB1AeVmE89m/O0itgA0H4sHof
RgCBc1pofioIwp86Au4X9MQx5vl/dBnkB1m0f8wmYecVLG0GHCUUG0iiT1/wYylzN1RHzzfDy3BJ
KN4ga+1ijMP2yj0bBttyQ3EAOxBLxyjsH4hLxWiDWDZs9jOh/p4c1jJrsGVUVyM4SacvDuqnmQE+
70PBK4X5pnZnIIRDnrV7oW0dH6qiFTsn8VqTbjdSHOsUhxTaMFAmVn0dqTl+e9PhhsbV8e84TMHJ
bCvYOlpr1KN55OEU5uWv0oCCr2f8zRuYjs1HwhaKRAdxv8e2VuJ1AsvLl67J4CgAJn0JVd+8w8gM
TkFKAmMV+y1iTFBL+6Fug/LBEzBL4a1C3gxTj4+Prymk3021lRXcrvvLxGA5r8FlytfQIkeNZ9W3
/pqNaQVn/oaxvfEwWyCyBFPw0Y44vTigBJbvNnaLQ+QI5lY1uN4zzyZ11xfwZoaoEjubOOpmxPns
rkeDfizwqgl3zBxi686gff0unSL/DS8OqKFqZFMJd2dNFwbjNnbRqwgcBtXZsoj8cBmloal57aSZ
vdTsdTbW1H3UJpa+tu6da5ZPYkOZJoQ4tzCfuVwa3yKtRjZBUmANsSsu/2ZKj3EM/uOZomn/6lfJ
c1WZxjUiJ7jB1+c3qz5Os6uRsr6STl11rHFKFyoUPvp4S3axRODnZYvXEyCyYhWR1l0+Cbld35Kg
jHZj1Ul31/sLf3emzyWGjXJsifoc8EjMf/LYSjaErlO1LrsqfqjIT90Vde9v68FLfiet+ihqEKNj
F477iCp6Sh6L5BZ1Eyp2MGRPgU/DFY72+eD2cckeeAi8dRAIY1sO3NynLrbBdGl4ihefFPfvPO65
rAWWGIOtmVOpvGPj6xxzST5nrbl6HDuYF8/cn5CDDBVfWDOqbUuGntu9TMl6Vj+1h469J8vNEgLB
+tnlaHmkph77H05gyglj/Fjbyhz0bbbS4RJoO0q3PBGoN6siaobNXpBw72p8vliVVq10/TtT9t4v
G0wt6USsr/sBh+s+DcbgfppN2Z4pPiKphH6SA/Hz81sN0vejm7LsCchY+Jclnu1zKjNK4OKvXXsL
wgQVxpqUAThLdmV+TUaH5k7X5i1eWcUQHZRuE5y9TjW9idnFREwF2TWrodPgC/NRBWxMejeP3IO3
aVMZv3oO3q8dKOzKuB9dFZ8dmc4bTZNJtLdjvyjXadJNwzGMfF0d2in13nqDbyQ3+v7Jl03DFqaw
HgYRC/Lm7kL66AweD17pS5bDefshIcAugQgj3AjZAX1imXn24ozv6iyL9M6f7OlOec3AUsA2ukcG
2AE2TNjH7zF4SLJpYDDGlZPF9rOZjs2bLdL6GmocYERXMJMRNCO4glA+btxG8Y4qMFOAowr/q3Kc
GrYYPSD3Bk1dp7AuKa6d2Yut1dAaWx9Y5Z8Zd6G1CZQz3doYvzLpiNLYOlPdfxIJTYNdaOtuN2Rx
eEhZhD/2GWHsf/stAUeU69ppcBj0/rOd0p4yoPC/8eW0HRSZsr6SkcCl2RQvbpY/5XGRbKhf0DB8
YofvbEQVXYb3co9bNCQAM5GnLW2U61VE8/IbFW2cIFE9wMb2HMp9sX8G9mvqRc1daFXVU1hV3lMP
JPHC5YXOdDnl7wZOjgV4oVE3phkYX2a4CkeZ797TM0tFnc7b8XeARDidqtHu6dAKLaBYcSmsfEWt
3XRocRL+iXKp9lEJ9pVww8Bwib24RqpXQXhPXxlJRE6ub8PS3reUkcJThREbX/RsBmrjFbzXkBPs
ROwFBSkvPUV2OwwA9G4j/j2ZYRHZu36qQs62uH+1sjB+8ieR35d9N1/nxG6/7aVDZ1JRiv2tw94M
DZasdDzpT6QtffHJmDyroT9bzVK1HBe9d1sazMbt4ATU1JlR6IdYbidyBtRSPwSZP2zMJbqyigFR
8z7nLtlz3NlZBjQypc2lbzQPjYbsLMZP4b6b0mrGFdZtcsdmwnq8wSHwh97q9jCQxrxUnaoel93q
mwqpYNaNGx5yyopfe8ucgMhNozxiINCYb4axguhUtvJohKSFjlnZmAfhJyOOaezxK1yT7e+YSzLU
YtWSX49t9kWUG0N5WPg9d1wJkOXUAJRzNIEZtTglt5YbM4dOix027sq63th1wcIqjVwMvqaPZFh6
dGgXxdK51mOAyRHarOpKzpFYF6ABXmC7S/dgRNJD4JbYQAbDEk+ST+ZhsLzyM6jm4vdyy275E2zI
e51jG7/MTnVXsPjqLRsbANI4fxlVOfDXro09vba0yz/pTUYMQ1Rnjcp9Rxky8LYEo0q0rvJq2cfl
Kj7gIJIPosIWTBioJs4KgS197MLir2pJ/PN1KfaDytOroRJYb1MOV1zNrnuWxDr7FfdK8zl1o/Bp
FCkG1WDG/ZpPHanxtOkZSKre1ieduIGgOsqhv0xqKKi6ZaGJSZhwuJ9DzeBQTkh7qFbz1tDzQ4P9
dO5dGjyBtww3PH2Uq5XJgggcSQBTv0zLorOJcWIAB3ZbYMxDmxLP0ETYAZX7PXc2VtOj4cRnLex0
pZC7v4rA8nYzHW5gRujQqrd+F9PRSdN6cgzxoH+PMqsuUmU8SQwZhY+N5ZsvhbvcKdqAFlGAg/DP
oZqpB6cDRVl4Lfwck5Vjn/n6WHYwSXeAM8dXR3iCsuLUqwiI9dHvliAWhUbeTKFd6DTiaCNzyjcf
rAYDoD+QXfu/q1P9/+pTtB1IdP8nIYus1E39j6u6fX3r/6Rk/fMn/0PFon5R4In16JcJ0Yv+XcXy
/X+YoS0sN3Swsgpmm/9QsWzzHxDKcA7iROBj6Nr80D9VLGH/g2Jek5/EpmjBLPhvVXksRtl/dSii
XrmW45semoxPFw1/hX/167ZlG3qqc/t9nbbhL4oGpocSMblmTZ6oTyOcs/Nghk29/pcX6vq/xkbx
nP9XbySNwI7H7tMlRY/stIRj//VP7jQ9r6Pb93vP6aJdomy3vgF85IKc9BYTK0W+TK88rLv3nOzd
vB2dCith4Od2B3p8ML29mdcoBRrt6CMidY8tiraelWNN3KMCBQ/A1HUUr7OCWMphEAvfDTgVM5Q1
tMi5dRVMnxDlV3Y7qZKdi+1/FOCNbhNiwmthpkW8BW3XP05MmfUma7EGJXguE24sEaXyvSW699Lx
kx1tLICEiuLsJFWCbWk3DTMh97n8JDG5jltalObKqjY6qv70ubLutBrSR7wk/ls4e83ejgxKpYra
4hbhOtwg6IWKXow+T1JaJQxKzQMxrsto+mbjle3hR+0iMnfHVowpxOz4GsSdv+tH6J9s4DJu4OVr
kmDKHGqWS9aAjz8w2PmF4mkqGuTsFGJ6XlTduApt56GsB6iYKF3CNuWGThF+UDXurqw9QOBLWsmr
4YqrUdyITJK/Cx2Sd9wO45xpwlb7Msp34A17VgmQX/CG7T1P6bV255z/U8VGlcLbh4G77h3hh/Y4
R0pxJWEca6lkA4hATwvOFNzWUhPxHxJ/Cy/f3lA52u5bZuSjMLXFjdV2j6jPkG170Wwt1XUAp3Wy
t6kZWM9EbymWKcUBVbbb0e5ME2qRwWqEYL9RZKL286Ag0MLzQHSxZH4sS8P5qq1eHjqHJa5veMY9
6wGY3mzenqY519mmpNMRtaRjSUTjYIy9ITXtdO0GcSE3OGeccAl5kFcbbEffAJkx59ezzftOeZ3/
ITsnuICwsT7JthRfLFvxiOITcm1Y9LS3yCq7M6lyzzcDnbP3iKHNsSXXIk3HONFNVZ/iuajeimUu
XJHEReEz5zaet8odEsqRQxoGIPhWnscGw6s4zHvuv2bkLtDDKgN2hKkOXnM2L5EUm74pXVj7kf7l
ghxtHPwqXEM1G6NwELo8ZOuta1gkjmbfCy6msmFE6WbqHwXl8ztHxpM8SVlzVWP89z90G+DQiGDO
3Te+XcXrBube0zQE5nHx5pZsaWVBzqMSzBZEbsHHoXKR7XKeK6W4ZASYhBk2goUuCYt9AOXi1XSk
FVX/GsqGHAyuWABc3iiWDlRHDdvAxRd4mobW+q6ammSqXVivmR033b4tLOcvu8Yo3KFYToprUoMy
upon13gKsCPt4AaRbdO0x3DaC2VjRYbwuLJzqrc6AT6R7TN1WLVJ9pb/2FzQEv+pw94DB5+mnV0+
Gyy1pi9PZp+6iO+wAu5r03B23QSEqehFfujj0H7wHIqKGocBsM1gC2PJuQtb5FBaL9mhsvPfFLPR
HtK6uS+9WV+b1PwiZkjlUaXQ7NtcHhAB6kvp+2z7GSF2/lTgUS385BpHRrsfiTif8aCJbctM+jl7
qt9N0C/uzSmlhofo13AX6Wz8WxQRmA3QLck5ZDCN+QAHUBnnkiA9XBLX+vRxRp5y0eXnEC/mSMQa
z7K2Wntj0SHnfTfVtHDKfUrMkbEMpJjReG9pigAZwObNs9wX+tv8nWbmfwxtAvRM5hiTsSD1p7mb
v2ubC90a+olD7AYWaEjI7tLbDlafDJtZOBpyOxQSC0obF1fDBNrOANoB7qWW+4kBLcP3acyqXbEE
ZCsvSd61RtHd6wGmwTYGUbYak3Z6CFSP4oFURZGyPfp8sogv8bSQnwHZ+I1RusHBDkBkAvxhVsRO
g/wpxEuQV/EZOgce3JHEMNle+GtDdt9HIAi5rjBji2JN4fwJXIp/qYUXnzrP/cvplNzDHqr3uWok
2Tk+KfqY2tm4riNQhFu0JCA0LMOscmNMjfpKDKhkZDaVeed7SAfgb1icbmNFdy5u0h7MVdw/JZPM
3tqEeFOODP9txla3ZymODB3yhdm7RLD6Q13jsN32fR/cE1gtXn3ep3U/WuqAPaD86ggOXPXYRJ8T
kGXnl24KHrPtXMbtpmpJp2NKBiC9qZkOWL/ijNwSpZ/BI8z2Ou3Mz5qQMRV+1MXlwurPfhJuRlW+
G4AGi6UQRMAf05kNDbwHG4E3tcNC79RBgNO4QasZyBAulsvUueeCDgt18hTdq/3QXKegfIxs7sSg
q9VG14VxzVv6l0YD5klGzj8JnJ0J3wVo54KhbCR0NnkEtp9uh8BR3Ak4mVzV066cSH4F9KDe/Gr8
8c/E852sgc+oYIrpmMwh9fRQYg4GIIVVIgHfCJHT35GPxGWVuw96Nr+RFGwiYkonqnikz8WVr9Im
FN20Ax+AaODxLO12NcCqoKzYmOOnYqyJXafJzhiibcLCfddOnbiLaZ7c5AYtI6bhJ1+jFHhRur69
5DqgopdL2aoaRyDkGkSR1NSz1D7WId6hYcssaK+1VZoY8OeXKMe9T1Xm0sbFC5s3ZXSBI083qq5f
BjemSrEq1aENKaJh1PBXqafafUWd3J4nECs/t4YKnClva9KdtXEBWB3YRdB5mYZXbLV8fQvhPIy8
71iM2C8J1Y/OnmKxZJuNyD6KO8rKthVpUM0q/My4oD8SrrZcUjG07AAO6quX1OE2tVoNb7CMhg8I
y/mT387m2Qzz7K8eXZxjHDlHqw+HtxTuP2ETNpq7wTUreLtjV26kb0Z/zXjuDp47BfjYc0HhRmpG
e6MPXGyeiRVfEZ44OTPZmydsNjCARGrfQjzyd70pxgcsWhlyel2GCa83zjkZFiRRe0rMTuiqdC2E
lns2g956BsQWfeeatD/ezKDY49FOMh5MVnRMW9M9SV5qk60e93JpGwlO61EnK9K9PTkH3Db7ggX0
q82qeQXaiS4ubL3hOha5/MKlbvZcA0O/4k0oiyvRWeNZUPZ5SGI9nel8nvelOfXvDp0u566ZSspN
GR+oKCspddIdfrrWNFnuUho9P2fpNH13qVfwNcVv/qSgFj+xXKsxdyQewIgiQvlltN+lUaZfg6ky
76O4LE8x8b/9JOBecvjhvF3xOZDvidM4m6Iwc/p/jPG5Hwrn0JdJ/2iExBpb4VHep6vgAuTNOlPb
7L8bAA7XDcjdd9uJjnTQuSuvlfcqSD3AKNKYt43h9h6fM6dgco9NDMAzUQPA2AmltvZMWkcpnFsE
wmjIoZ/Vb7hZrDosdDmhJurW0fyi4h6RJ96zU2jYQZeLBW8iMdUa89Gv+RuUQWm92IheLMqRE54h
nnlyOxsita4cEZxvNOH2Ew8wsuIoZlAbifKQXimpRbNLAB8ePS8dkgQyQXhLKZLbGsKChE8J4V70
NFI01FN9MbRQguXhZaX9NReSJMhU7gv0g2Pd9PqDL+38ZCCBUR8ylrSG8ocEhim2KY7irVtUEsHO
ltdqVOJ+0GY/3ipbjM0jmIwm/2Ww1vU3LY6fiJsIF7w1hvR0oPtBjdHaET1Cst+1dBF6AWKiSyns
U+EM8nmsreTvjH10jwcMGuU8OHLf4Yl6rCdhfXRV6Dx348DibFKCaoFZ0qOQJiQ/ZWHEX+PgpSfD
c+xb44hWsmtMEt6O2hufTAbUb2Xj9pdDhWupSMbmaVIWz4qZkD4Dm7Z4qrltI2nYyXhkK213RHkL
85ZFvvPieqanngMixu19VDWOvZ1TMrlbS4NrQBhW296eUmsdsNjqNmEhfdh/nTUlx9riQ7jpcOun
zO0aNb+YPLqzM769zpQG1qbiPDxXVhp6oBybGkYle0I8R/jHG6P2qeapfZp0qr6Wx6bq7I98HuJ9
aYX1ax2K7ia4ElEuWTdPynUeEwPGKQm7Ta2D4NxOkhAAn0OgaZ55S/14+C3LMD16iZu8pnNvvFt1
5QZbL5ycD+oJx1PfDtOONWz1IGbbe5SkCKlbk2N0cNJluVpnRybq+G4UznBodIc0x0t4633ZQz0y
vKsT12qHw3xvtZX/kPjpdGo9WocJsKZPpWM4l5A2pR+bN6tS+hMJuwUNhj1sF9G5UrPiieNHFxkH
vzsZf0HVHR/xHEdgYxtV8LQWbF41e4G/NDP567grkh0Cktz0KPuvKL7d25DyzcmNsn1jBSc3GEXs
S8ly4pRQe/iI3+GvdGJzLagYe2oYZ68kxhumq6T+diBbcIIiXZY6855nzJGnWZrmluKs4RXxMF1p
eqfuNcL1tZqVvZ1Uo8ttYdXt3Rg5A7YsanU8WcSPqKkeKmdS1ahsQ33tuJN+NpNwHmPU1d00I+nq
oFIPiHfZEX/uW2fifNiMgaAoMinsbjtWAHLx14pd1rXzLfZyAl9jZ66z3GYGogvzvWfrSGQFFQNp
LnxP8Jf9jjAT7+F/6iPHav9EoJ5iNGaxe0RdutJ11F46iD+/WqY8chk5tWyzURsnqgkoNWR5/tJr
nvdo6N3vJFHlNprb5DZ5rHZJfnOltkocoPhIU5J9E9+uhFNlQxsd5R8hZ0owUA9DHAMLMUEbWnPS
S0mxzmseuPrkEpx/NSo+Vzr2Cm6CuFOCmlKZIratqw/+6xT51EMafZc/j1MtLrFRlH+dYSQ4z9pP
QI1O23uz4MxbTWVkfwUy44bVsRQ+m1KH6WqGkXww+KDh/8t7Nultm8G8ZyklN1Tr1G/tWDch967R
+pW5U/3sK6FvKRaKccW6kHzAGDblOwad6Da0JmzdUPJ8OWtA69eZp9/r/EPfTX9IvFQpOGqXZqC1
ZTtwv3K7xP7svdJ7ZUU341H0q9s4WDWCtum/VR4ijVu01R27CG5KA88O/kIpQArW6buk952n0ODp
bXkKCLHba9iwur/MWd/euqJji7CAhrUIov/J3pn2xm1sW/sXMeBQVSS/XOB2s2e1Wi3JkqwvhGzZ
nOeZv/596OTkxE6OjQu8Xy5wgSCJ48g9kKzatfdaz9o0RZTuJ/RN23kBEiPtNVZFEJUvta1HW5wu
2r1MEwlqQvdXhr1uWeKLNSKB/L3AoTreQiEN5V5T2AIlYL9p1Q2B8QS4CCBymYzR114XjJVqfdoQ
WDqqlY8MG1A63qfnhDOkF4DA3Dc2o+QVHz6gJvgGXTbDRmToGfv6ZtL78CMCKOPRjnNuoMiYeQ9a
U9xPzEZGGkFB/iSy6mvzDelc2VP+NoPt/FpQg5K2p7EMId/0wqwqPNlrODlBQycBjS2jSFZoegCD
y8lr2ZrXQ9uSe7mwpSnGnvCSFEcSfR50fzB3jHm0UxAzpXADqNQIDaSnKVJyupKxaefco+gTF/BK
GQNRAYHF+ga5Hn0UXG2enwZsXQdSObkdAN3L45zVHUlFobVsUxl+Pjg8rp0iCnYbnjRtPo3d5Jyj
YAo9mh71znB9/VPI7fOpRNo1Y8QsMn4+XYaMujz3nKC2KrXa+3iy75iHGTv2ZsTnvoahoTUIgkG1
MexSxjIIvqz6Ik39svSEPupEIkKXKodFNKHl8YXKbsm0Z706h/Bm6HY1MoS4jy8Vvz8HTxy6s6D/
NreeNYbpE9F1qWLUX6srpUEq1kmY+BczjpCxDnazbwkNR7dmEU28SFsdf+K5TH0XuCbokm2LKQeG
XVfUJ1EvE2vRmf5zFfTmtqnL5mM8WfoZmDV+QiJZWcBFL69W1FXnildbF4SS3oWEep/1UiOqAZu3
feqQau+tgsg1M5qaEwEH5SkSkYPNHJdoPig6eWbOc4rRob3QXGvajbQaShrHBoha9do0rGZRxptA
TJ9dZMReawbWGlKY/q5hejj0uFceFCvTStkdw5iqRNNIDlCyDeJukSHq8wV/TbQLTRtFmhFnznlM
2vI6ayM5P8yH+S3NyveKUEucE6l9LGUZf0Bjwio4Fk1Fv1GRIkDzyljxUDcXzgTmkwongbNC76m5
sJFbDZtZW0ByJ0OW4x784drUPjhtzzhxQr9EWjJMMr0Mx008puPV9k28pZOjHdpUlUetQKIH7qF6
1SMKEC0oIq/JGC/PbrPnuI7KO6suvV602zqBD29gVJhW/FIeWgHnNx3tYWulbKdeHsaMlSfQmxth
hTzjBQO7tXImf9clVW2w8RBQaaRu8wQS3XhyBqIMUdzHIXomhjTrXsXRxmayyDl5iMrHhGwLfRvJ
ZsTKhxkl32rkvhWnnsQvWrJlgW00o/kBxT0JtOecTK6jo8NKxzRBcwClbdzf4xOsIxwsKnoI7XlR
qLi4i1czYLnBi6uo+xrb2bybu0G9Juas7p3RLYytDU6l2sQxpuktygPWrbgKXfLPUmUCk4dncN84
ghJ5wEHBYN5xy+dOWPGnXltmoq4zIM8YFzTpcabV/xiJOX+pLB95XZxXlxESEKndsmqusF4xQJqo
/e/KgUac1QvcPEn7URqoN32nSQjtcN1XrbDCLUC5ZbhoW8fGMbOnuFkQVzk+822nQhPmgJHSSGkP
fAszNpVyJKqvsR1cbG7x0Lb96BF0Oj/SvpRHpzLtOzRttBjigUjPAHJzQ+Cn5bzTNVByHeQm/hS9
ZnSgjYz4PM0e6j09ZDRZdVCML5Gj2CBooU7nNhP2pguvUWl3nRfkyn1M8GrdBCTUiETViWcC9z/7
JjvBHqc4goUI5swnWDJNQfjgiFMI0S1ze7rO8orHx8IBNkyp65EhCru7tejUen3h5IlnwUPcso2Y
d6lw26s1mfMzjfPhquFCg/Fm4AqF6bhrm9L6YGGNv4DsEaRia4O+LSJzIvlVxhcSoybO5UhvXtsy
CfG5qfSEeK6/qzUzqWhBGqE4VSgowfYYi7o0dHCnTxFV1rq1tf5lQjdP+5/iehvKMYbDHY0XsA1Q
C2yRIBFO+CKuRVzPGtgyM3j3jRCOWCQM4yHwF4hXlOnZQxzhKyHzkQO0q2bJdtrINQQ/DlJjZsnb
ujCae6CC+r05WPll0mQeAwyOqo8zSRG3ao4rzvKVo856o0EUjvImzvdRWxkfVOiaJ4xM8BgzTEfh
qunof+KcBnUVT5r/OUqy+a10eXg2uOc4e/Z6tcDgZ/Lz1GRxjJvrPn3mbuv7dZ5G7AR0PcdLo1v+
50FrlwWOhwjTd/qMppyBq9HOZzJX7SNuFVIaq6w5sbazATWu/t6Irg49Fy3aDtqa9kFpUXlF4WIf
R8xvN2Jo+8Nshd3XphP4arhtqxVa3YroknYcv6jYz7w67TzOEGmM9rjN9yQ92kfJuu31dpE+CHBx
R80kIWVOpu49jyurZCBMQF6Z6vk+FvZIjYbw8s0oCV/ZBJ1d3HNEovsN8eNDglj8Cu8rhX5l2w/o
j/lbzTrUBKjzSBXBz46tm3EHcj7t2CZoozu+wweod+1ndqDMWcX24D5qs2H56zyrzWhTNOEdFIDm
HhKVZHrA2pKvRCdAiOpte5dZdnoqDX4IPeviLFT2nRpzugn6lHWvM221ZUPuzbPTEW7t25xKSHwa
0nuAUAlZzm5slljTivk6JozY8A0yNtEjdWW4lR9S3QjvG1OWazMZ5ZoMbY4aoqg3dW2Eqzkc/EvW
T+rIjwUE01XapxHM/ppfvoR+n2yMqIDq7M7ObWfP8900Zu+VIb0s6XD5hAUxHLE7nRUu64dosIZd
XdhwSkL3YQJ6v0lUutjQaF0e2kaHIWcNI3wx7LSP1sDnwovAw7NIgkTKcw0toBm2PcdXJjQdHQ4N
T+0BGUj7aoeFuvN13cCrZI31vaCg5ySQSrArDjlcq34cy2PUS2SXAHQbINNjfcN09XNRJ2ayKttG
XsLAtM+DKsR1pJ3xmtuOkEhP/KDluMv4Juy4mwY92LOqguGIcgdOJD0FTJ3m15J8ayJo9QpFn1E0
xIvTdsfyl8hhytaSEuHUaXb+bAVsWcR8U7KEdDgTwxygdTNtQXBplE/MU9tDxveLp78t9iPiCE+3
dWvjwOYrdrolBbtpgBYjatvsVVk+JBp/7japmpyvUAWbE64emBNs9x914GE1NrvU0daJ3oMc8yWF
rB0zt7LmjhOMaYQD6gzIo2ZWAQ1jmkO7t5RvpRS5gB/Qagdfw60g6JEgZ6KPcW5HpCQQyqoSTHET
PsicmQ9Y3eExskfxXgzT+CmibH0ksKarVwo4Deu/v2Cj3NgpVjN+h9cqYX6JrYNDDy1SSpM544yH
4ZPFuO8cmzlMgghrHSRteB40Xf+UWtLJNkPpQ7aoJzauKXfVwSeO4MSHIk+dPXhch6UFXkZiJYeh
CWu1bmSJziwwUdHHfjo9V05iMrcJ3a1pluz5eRWC/FL6osnxTVT1rR3N5y7yl2CRwUyOtquaYzA2
QOZkMtmfCWaJ6OXpi1ElGQt2KzMqfeSH7kSKchahs6bRhvEuDtnFVvA10EMq1Vko1saRlyFhMQCC
VhTuOsNw8yHta+YoZp6QxmWPBbomTTvQZM/AM9TN8h8GHjos0pH5gZmtlUIJNEHxZrmU7zg+89uS
CeqVzYvaJWW7XPmwbppDq2dGguliHl/oN5M9SWT6Y7CcrjIHenMXuGO7FswHN0OkJ94YpfrZcXvz
PRFY51vafVvNT4gGEhjW/K1ERbB2aQ6f5kw3jtjhx1uIfORJGEuTPAsLeDGgJR1HGTxZPWGl8YCG
lM4oOFdO181LRxF+nPwc8CF5gZsWWZc3TFX/xShlfO4oJ24JY2X9mknutW09v9H60sTxyr/BugcA
hEBef9FB2ZF0HyZnzBrmpmh13MA4N6HZWbJ9CbtyvtZ9n98U5IYyRjcQM5p+dkiREn1OS6S4QenU
N9kizyW5FaVuGQ2RRx7b/Bm0friH62cf6kXcS71Om/ib4vf/tEHfIjV/EYZpoOgx7UWV8599bucv
QfiWvk3fI8z+/MHf1UGu+ZvNoYb8HMNAXSHUn+ogx/2NWgvNkOE69h+/8y+Pm/pNh/AHp4zTqWWD
Xv63Okj+ppsw8ZD1KOkaNmS8f0WC/iHLAcqPIouI0H+Q6SBI/V4fRDoDLQxL6owVBX/YIoj6TqWD
4MGRma32NTVfsDeBCTGmtOZFVuJGdJaTNKWHybYEFVF1D4hvnGCjoD3M28D1rQ9VTL5C3iqVeOWi
+KHBzMBsLQc8ODt609YHt7Gtsz8MOnYFTbZ3FsmxrO6EBpHuJEgG3LPIMHXRSe8qb7DbjocJae9a
yiBkwOW3wWNDU5RAbi1twSEZDMYMUi+czu5eSgEgDKQSEktU5esqd+71mbFiT2DxNHGqdJOSSgW2
dv25SqtyWMcWQI01Hza40ePGbcGjGPONDJuSGSD+ZOrL1NmR2pHtbbpql8qMzL0vndEL5Gztp2iK
9qao3HWuIRtdZ+mkrgNA+keM+s4Oq99wZvbo0gHMmF66lr6xUP6gU6WYNmkjmL0wyyeOAYhD/GIE
alDRDTI4HzvIeSJC7Aq0w/qNafpRcIRR3V/RR6qJw0whghsGr/GwI6qPVJyRHEEMWCxx8FwMfyw9
3GULFbmI234bGOiaGMe6mnGdEalNlzrAcHVFc0aS6axXfr1nra39Q1hC6T10Oka4o98PruUVsW/0
G7w1cgajEaYviE4qDjVZjbHEmKHrgQU2SRoGSbYMEWfyJre+avqdzTL3DgE3YOUvcbrndWc8QRkH
Tk0VEmyLuPnquiNVBmNiM3fMm6Kmsb6yoG1oAKNebEUwWaj7d8OIExq9OfOMdszcs1UPqB6q6GpE
ib5V0LFWReozVQeXMuwakTfvROzY+8LUwmhHAlhkeGmhU2Oo0nmUSyTKCsOKmrwsap0HYEXTDROr
xW4SEXPftOlDm0yVx9wGB3+RhzvaTMWRLPbM0xpmxXrkwOuY3M00G/Ojn0fGtq8K0GJMXRm6ahzZ
DDIeQeBjdmseSI+JKEFVcyF920eYjldqRftfrCAko6opitCGQgZOk1OTNqT4Qomo58+qvQnTH2xX
Tue0XUT0yN3akShPXtea4EEaOxNJPgc0BEOJ76/zsg5hSVqiowr6IbmQc9h/bLm2BNYVvkHEkzlO
SHKHEY/IrA0UzzXYuiyzn+j7Z9dqKnbFsIw4XH1+ygDsvEtTGza1Y5cPRBM2OzvsYr73eNotwa0f
bbfFuqHN3blspy/YRykvGFRlGyrOdp9ocbzlQKQlL6U2qIcBeUmyNqDrvcJKN5qNTkFxGOhNb8dx
7LzILK2N0sxuI/uK5M2qrnYzqiAEaTJdZ4aVbEEd6mtRB+me5sdRz1rFCpON0Ab07gWJGLqiJkjv
Ahd+VFPG+bGaQvcSWJX/BgLHb3+XNy6O638vnL8vpH+GNv/wy/8iBZC/vk9y/rb0/vkT//UfU1T+
t0pm2W/UTyWzN29JE769D1++lN9Zv3//ud+3RBsHN1shM3JUIwuOE4bsH1BP8zfOPt+2JOlYxLDw
O/+Cehq/2TqOcFKlCSJhmsvb+EMwS+g0OlMs2raLxFUo3f2fbIk/5J2oRXZrG1RthkKeqxsuGNO/
7oiScXNYW7kASpUd3azZuTC0boKsfm2baFihtWVBGXIoSAQFEO8FxER/CinNb4qmhyocf+xKAorR
I+5Q+nT7tmrvYvKMcDhguSo6DdlY2QhAcOlL6zREScFAGSSJZv10BNNnQjFEn0tvYW0O8eUvFco/
bPigT8t/y4G/fTh0lYbUQevaBurj7z8cmbVhi1pPgKeJ0UgB3PK/5nV5RznyCwXwj6+EgpnqxgHe
zl9C/EjwDbTasPssE2xMBTNF/Em5doNyyzPKwPv5h1rKsr98Khsdt7KRSvMPC7GzWliwf71kNACH
jO1EI6Gr/2yTn7nGEPXcTvTSa9c4+D1j+1T1ZBFXqvRsRpNrXYl+hS8K76sxEGnSEckS2R/5vx4B
A57xh86elPVLoA0niEdvgCWELIFeqOJTTQMZ6laI9iGvgL8H8F1kNGx9S0fR2TUHLJikvfbJuBGw
rj247m+qnz9WVfRqVaz5aaLLX3zdxnLl/n1lv30HBJ3ocglDotj8MSOIgLGwnyzMW4Xj7EIcDkaG
mqwM221Z+Du3eCkz9aaBTjZDnCvkUgDbz95TLfzy84vxN3SzEraBztyyQTuA3zUWqsJfCNFTCCYg
C2S4SVucRUaFgafX7BfSUIinMNLPKcnNRP+tojQ9kQXzWMgJxmps7yBkpqvMNa9WB5VlxIAlq50I
7Lc5Dl6zyQB4K+9/8WZ/pGnboOxZhBiR6zZ24W/l8V/eLIWjoyXtiA5cn9H8fjNKD4+i1x8qTbG5
RY9NVxzQJ+znUe2iSn/SQkpj+uSrcAwRHcdebwD7Zz4FGI8wW6Ueh7IWq5+/z79dXd4nuG8TETCP
kmSl+/5LlQHo9QiggQdr+6F0gGwNWYbNaRiZqXRQGhuDZJFBXwnVMh6r51cSCh/wzW86GlQ/fzM/
HBnED+/FWb7Tv3xnuiqNlHmZ7/k5AMNSX2FLQ5BsraB/7Jpfvty3Nemvd/byeiDHdSG4Urap/3BD
weZMnDnFfG612AW7AG+b04I0zgbuCvGAztvcOlBUaa1j6a0WAS0jJnTk4SueRWKmY7/ZBAOcitzN
X/yObk3jbrO4eZwhbZ2oydN157vjFsrF1c3I2mtjd6VZ8w1kHLHHxEcf38g5M/S43s2C4BiqMTgk
MeHlMtsIUd0QdRkQ3J4y7WJktm8dRsaFrOYVkqEYKx5cutaa735+Ib5fYu1vFwJvENYOuCy2YN/7
7kIwVATe1nIh5llsINVvobuOsYNo7PzzFzL//pigEbXYFBkIsf/KH7YNiYfBzH2eaSu2T1GffMkl
palwStRgroXqpwmf43F4ENV8aLvpnnnGR9/JmlXf+K+176xz2byD313lerKvU/OxbevzWKS7n79P
8fdb8/v3+QOdfnESBmZZJUg21M1kDNsmsSmZ4+wFm6ZOoEAPI6XsSXHS4DCkY36uUXmunZK++MyR
k0GmdovVVtuMY2XtLVhH57qpMybYQwIr2CGzq1LiiBg7eeoGYNZl1d72BZRFUTL/KZlPrTSzFNxq
vLDSe5qo80RXDF3WShsm5lDwvzjhtd0uF8UzcfNvfliSr8ik6HWS3RMMXwWGOey/4saGdwiQYEvG
Y3DCIDhvE4bVP//O/n4TUe1IsTQbDP4uf3iak9al3LByl9Otf9viLZFtD4DF3vmluf35Sxn/9FrU
HLYlTUsY0vhhn6aGr7rGKuBPo686dt38PEeldSpxHT8R0yLQwFYrlU/nJvgKz2JYFxBPVqbLBju0
UMznCdmaFcv6ji7mL97c8trfrzJEKkieWpfVhjr3h1s8jXsjk05CslGWHqdga0vtNFcffvEN/Fip
2Mp2dBhreFgM28D49f0jW5tJ0PUqDVDU4nwY7XE/gS736Hfv5igsvKnp7oegLN/SSn6Ih+kqARfH
OtYdW+TdpprpJFR1lOOIHu+gdIU3SJGTVY1Q7xcFxT+906UnRJMJKwXj2e/fKTG0PsISYpscVbCq
RNkWpe0KGytSFx1ppwrtra77J8dsf7G/LC2n764E8FxGGgqjM7uy/HGx6Z2snQvOrYR220/+kg7r
1uvMLTwrN+8RXCEOq37xksY/vaai5UdCCTssrunvP60LtwXgjCTWqfJ3mbmMHKJyPJbCtjwzorTP
us9h0n+oQoG4VL2Zs0kWvfaprSMitchYvwW8yhzewllkr6P48ef3jfjbAoy4TBEptizCCh3T8v7/
sudCZTdI1G01r3E4L8f4vaW/9WMeFwSReEqSOT2hON4No/k1lngXZvWKXguAsfI/1hXokFgJZq/9
1zgMt9mob4OeuaSWRHcDwX1lCK5fMrhzy+KzYr/F7xpseyTZh4LfnkuQ4TEKTdwTjUfrHn63hE0C
3gIexEejWXDC+bavCa4L/AFBaJ384grZP8K4iObkML9wwiTPDjbL77+BPIpaThuh7TU4+M1MXmen
gIDKMKskomidum29QeVzLkfYxfDH12kBsreewMy2QXPf1sO9qBFW6OSaEf0h1qMJm7W1UfNk+otd
oaHMXHIqERrdwM4Byk22mAcNfFsPyFfQ1NzYAQpHwpjfHAmeXwXOQ2+5Hw0zOhOr66ENOdRI8/qY
ZLUBzSx05fkdAUeJIL66rTuakrxRQ88uKVlbYxyTh5RIhJ2Q/drW0ywrWBGotmtbdS6IO6w4g2xG
FygeSMB5K+ANbEar2hT4Z1b6wHSxzUaP1sq4DXGxWKPCCcPIgzHp56EOLkX6Ys/uJmq//Pxm/Nsm
61iUyzyaHO10S/y4MnQq9+GTWNRj5roC/2HvCewkMpHZ6+8X/f93m+V/UzaKXAYA/3mm8N/5e1i/
/ZPnmMM0P/mn5Rh5i8vaLE1DsKOyHPzRQVG/2UqnE0/fgsWbo+C/Oyjub7Q0HBob7DzOsvP80T8x
zN+ghLLx8ccpYf7P2id/yydaXsJQLhuGo6TDUfT751RBLOiNLkZs1QVD84Cy0EGso8GERsGjLsIO
HXxa+C+3OalXW6G3MSfFQP6iJ7BMa3il7/YRg82WZg7lKuum8+2d/mXN1GWvMGO5TN7AGj0Rgt55
sDr8Qx9k5mOXRO7NqEjiZoAK8ho/Fxxk+vZwW+NR7vlPOH8MQuSKJMxe2fd0ArbBUaxSDmJeFvjy
Tm8n/zCjyPYmsOe3YRyFGSKrBaNeaeY1bGoNtyHyBaykNVnk2gyyNkj9jVaDcbbALW/ygKlAqHfD
i2EK22S5lvmG0Bj3pDq0uSvX7JM1PXp67AMpmAfUWDgOiEdExyhus8jS9uTpgVeem9Z606WenqWV
+jUiqLSjPwHCZVQwDBTDbovz07uR1BI2KdS6YrJ6xB9Dc8cpiENKTModxrWh+NTaTnPoVF9fQtEa
R70wQDIsdHblivYuYJjvidyEeRZbx7Qo92SRwHIG7/JhQhBUrWIxNWuApurF4Fy1LrCmfwgHV9t2
0LYPcW75q7m3TAh+gbblf9F3I9xdrxjCet9wzLlhijEccAaB+ZzgBE0BC7GoutPUatFtFwlQyEO1
MBkqM1kjWIYgZQ9y47cCF5lU7aNEUw8YuLC8pcXzkOaDZC1EMlxP2BCsWtf3JYmNfLTqDo3NtMpQ
d5yDLIkfu2HUniHb9FvqTJANWPWxbKKAqQos4RZSovcqi3ENZEl+FcR4RCvCCbrzUGb1MQosaP0K
2ec4nEVI3ESunRxIhdtg1Ijn0+2LDeIM+WESGOsZAaWZEa6O0U1ugGK5u8TiiNAAvvBEOKV71KJe
7s/JuomzTaMa8L4Rjf4lntTuGrYZ4Ox7qwf3VrZ1dVsmSfsSxUG7y5sWbmGATx4DkvbJnqGtEMYx
3YKvIfRlWPJ0uK22YrFXlkzEln9T70HdutQQZfA8mwiQUPr205ldbwmBLIyrPqJR77J+vCBUnRGM
osYb5jKia5Nf6OfUwF26eVcGbXtNU6l2aSrmK8TzmMoVqUlmYX3v1RzdJaAWL0zkg41lRnID2k0d
wgoRqgyrwKtz3Vz3dlvuYeqWTymRsVxNu1qBBA83OcgRDOHBBrlR9ugLKGv2VNsef0ax7sJK7fvR
nW9GfH6HQrbOLoe+vrFIpAbkC0sKe5/rbsjtcNYjKFyPw3kEUERzNsiqCZ+3ZaED/aa63naW7FEr
KMWzhiPC08rRtlZ5NmWM3FPrOIU2HCV23ksE7PG+J8FGz5vbsZyBAfaFPDuFmHaY8XtP9Mo4B07I
cCZ1N4AhLjq5nWk4gO7T8+7UG1b0eSrq8GsWjN3aTVsEOu7sL8dYdM62xRGVVX9vdak6IhvAOTwI
nPZ5L7caReOl4W1jOpL+fZBjBDJLJzoSECL37dB1n2sCXu5ZmZ1Dahf1q1kRMYHZksDlQGUhygLi
VFdSBCo5ICdaj9z8Fak0XTft5FxlNDGDGNlsUzKg8cNk2MrGdUogQPqQe10doIsYaOwuNtctsUTW
GlUVehzfD8I1XAa7xeOpW+na6XpsloY1KFpZ/pOF8OIisoiMFFO6BejBMOU6o0ht5cfMcLorWBrA
RuAB6qcGhTJKJD+4qLYmAUOq/uyj092ypk07cvdyco+y8CPNGpR+TlDzXIc9OIjRgkAOhjIP1px0
RutmYfQfbSF8sbFK98uUqCQ4lHlebYauzY9O2sgXEbn0heMiA4XeWihwHFtxZkc5vnLRyn6NiMos
aTTU7Ve7cZqVj5r8JTPcbl+q4pKH2jOcnWafL9UaeWXAIPMIfkOZGi7iLgXCfNZn8TG1E+VymgqK
F5HV6cGNJ15AH0jNHSJnPWVZfgjNxaCqmT7RpG3lp3fIoXpjR2imGA8qnnr3psx8I/miNMkBEqW2
eKBNZlH+l1r51vAovPm+mT8VBBmdqwBe+MonI5FHqObVMncePpSxqDU2KV88BX3/kmSudgJhOfon
XUw1kaAL8UKSQLTWI2uAzbzc/0FZW/c5YUoEEuNvJJ1hUl+NyZT3bIWNcxjsOI2vmMjhMtpG9NBh
F3rA60y2uGVUcAsg9FVfSd9kSh7i0XlmlG19Bi8wHYhlkliie3VSU+98cTOb/oBv6vFeQ1Zx48cC
HbFWDdUDUD91zke+1SRJ7V1vVExYG61SeAdUBfFDVfeC1Zp2aFXtGUMwGm/IYyC/K3RQ/QtnhOfu
W3sho4CDNbXLIHwwtv1gPxHglToXhut2fOwTrIG9c4pNSFdC4P7WCVMml8kFUPhcuHX0cZBxB3a3
jGaSntOgtTZR0clXpYdVfokR8RSbNsqhbzWpQ4oWeTnNajZd4wqddPFoa8E1HOTwktYlfkhtsB6K
1mAMBadpC+m9uPgplFskueGBqiaBvdjzR1BrDTHH47r30jEadhX9pRONPMIHXEe7SpqWO4PWyzon
jegLLCsaplhJJmiwfv+hHo089hKiJhCA5STOTUlmtpt5XoAHcwgxeB1kUGRjY+hwSQcHRGHjp9DW
Bo/RffgcmBmQLwtrtRaGBnpRYa17vuD13LN/ZmQeae5Ivkk2zpcOyb5XV24DgEbPNGoxZzeOMbyp
HLQ3sIHEL9rxRA6xBiImHTqiiZpxHo5NEYdHyhlaJKYBy4GyQT2KZgGjOiSODDvMw8ZdUmEsGSbF
rQA0GOxlbdX3/NRWxtBBahyU0zqTyIJT3T4NQTOBFpiCzMubunkpfbIJ/FhOByM22y2asoDtyHK3
eSW1VQFHaoc+Nbj08yS3reAeFcgeb5RWIWgP6mgF0a8UX0L9sLjold69MZQBU5AcTful7geOS2nv
o3mB7PCJ+pIsP0MCM83HqScwaaru0hoejJX4KUFLQjm3hcZmuZv0joCTJnF3zCpiL0jcdAc4jM40
OLWdRJWAiV711W1BLAY2zM5AfwayavR1YwIQgGKAfJdZnpWb9XchxnIk0gAxTlHiJo9954ck9en6
TvZNeogbrH3YE6xmE5fF9AUJX0rmHeqAZ6d1l0AQCffCjdH0rOGkLINKg6SMTZFBsNmMOcESPji5
mq22ZyR1wOMUgSYscdn7fhbs5UjQzFzU5VbBl73J7U6/jQcbr/zQJU8jqmrz2Ac90eKDYft71/cr
EgpRM98wHenKlTHLPR95WKve0Pa91RufmHBYd2IwG+rqZtIfWG0IV5hDVAleyKTLg0OyyXqfNITA
vcEDsrXsJN1Q9JS7wM+Dm0HKZgUdQ3sjdLttdj2+ZACm8VvFPO1SWQtheJrN9EsHLJHgZUey+4PH
WNWj4PTQTf7kEYKcn+0Uo0Gj9fpTqUfuHRtchWpjQCPtau2WcVm3hQ3OPYG+8qtMyR7CUwmQQ5LY
scrsLqIBbRusoqX2hCuNNYQcOH9cf8MhJmVG+lgqq/t5UAK8WWtatzX86XXkzuMb9kr/OrGK78xA
IxkaNscqM3JGG2nzpRYQHRRp8SQGGSU7Z+BTdM4gnI2BLAWKAmTPJ4srtImh8G96hKYfStMWKL16
HLtlBUUz8u3zFKbhk9HVt5WpWrrrRbNLCxOPbcPh5qaWQXJSSW2zkJhpty84Y3huEJoHXTDlE4uc
Q6T5KS3SD8rMvmi+c2l7tLYJ4hCkkch6IoIcEEw77EwAcgsbgptCjn+hM5x97qe6uxRUX/jB/OAm
nJNwr5xgONrGp2QAtde2YptYyVpHvby3QLpxlpoHYmimbGuwISGwxo8WQ9IJ9gpe5to3B1K6DgiA
yBNWN3C0T8kcqXNgB8YpdzATAHLFnz7jbPJSo9coGbN3Z6gCY9X0w2PJw0RnJijWuIRInKuSyAud
PrkGEDgPfh2Ik9N24iqMzDn2etlvWtzOgIi+pUhE8ambEPOvrKI2KEFzfbkN5dqeuDW0sU4xSI97
P1UKJ3p0dOD76uHgGU640+2ee3paDzmwOaqO6OhnqINqMx5PtSl1DyANuYJzUXQHw86MbawhUgqE
xMaQJbVgZjTuRVTtK50aYha9QxACROhAxenBJxwEAFXPpfbLAsBVNmmLA0A7hUHlvuholXc4CIzn
2qFkd6sgPZbj3HkGkJEzgGyxkYPb78nHMF8dlAjPyp7LeyrgGBl81D8luV8crLzU7o2+k/dL7hxr
JcQlgkvq8KaG7H3G8DhvdIq2zwaQmoNjlLiPRVu8AwKS2K0wHFd4UjNfepPuf9JH9r5vpHv8PFgd
H6u4007m1Cs8OBjBtCm1D/+PvDPprRxJ1/NfaXjh1WWDZDA4wPDmzJOkozGl3BBKKZMMzjOD/PV+
qK4LV1VfV6MBr2z0ohdVWSfPwIhveN/n1XYfoJwfg8fFRLspojpZlxYF7OAVYtuyftxIDwliXFgE
55UbF99oLBy6SDN/SAadUicUzTu4RSgLBt4Ihxb/CC72gOAcWZJgtVMgJ7jtgq5FkZ0+SJBJ0kfH
ZjvNbWkDHNU3PfmZs/B3due+pTHp3aNpHdJYP/pBsouMHIRXcwhxrXEtEXMKBnJYUxp+a6LgNc+h
sw7qvWGwsc4aLD4ROPWHRPf5IeiYOXLNFBcnHW1+x015DPz07MsYRIZ25rPbxLBUJdjqPEXiCPB1
nSZxdgjNQh1HkER7MfSPpiiw10wFUoGMBg+jfM1WiDL8aMKoPswwtz4ERGOsox4RgIoIlA0BngZF
unGIy0RsZJdhm4EcuitTLzzrjC2pgZ3hEFh0+mjZE++iALIsGxBA+/5wbLIUx5N3tPr4bJFHOIu8
3sJEkM9V5XUXkzn8M3h64rSboYOdYU9cjGme54ADwgnFnZ/0cje3qnoxxiDb+IIWZXZxg6HXr85x
aQ6PlQeuA+9Kwppt7cO0iO3k1OX1z0LL5iZPJ7jukW+SU4m91az8Td1Y+Y4RU3VMWAyta3KwNnba
TDezTXKqy5bnQ/D+0Nj16Oi9QjtIx32ShVAVXOGeyF1oDtaGoPBFnFZth5q5uzugYSVukjMP5oZr
mA+IH1AB2TqY7nMSL2yCYN1m1yEH2I+qKFcoZ/noU4A3GMOD7WjgGV5VjbzkhYNKqXJH2LyhfyHQ
CLaPudKz9RMnP0JWfCBB8IhZcwOl9Dqp7Jh36gfb659T1GDAMauSQtyukdBKN6oPrUXIKtemsR5l
pll6GibT5nwErDFYdNmGOnBzHVJLHiwPTTyJEyO8FLIN84PvlzxQXr7ltv3pjvYtu/Fg33oMiA3r
LH04m9Rau3oY3kjFIddUC5Eea66DxwYI6y3Q9bde2PjySuNFqEDe5YDr3w0pqgP/fFWklC0eDcRR
1HRjlCjGow7ETSnqTZVoc+2VlXshKzRcJdJ+5QCPVq5ZyxchcmtjxMg+/cl6QeocbBLXb9ZzE++o
odcN0MGp7H72JmiFgat5FXjQjNPex5OSu79Szz66MRGuMJ/iMX+qXUV5Kce1qodoVXOB7/IQkFgu
9gRMvSLjdXh6jHSrxoUbTRBq90iTDVnMIaUxJLgpsLrrQkqFB6Tia9yK56QMlnBoMIJWZlIvWkyM
WB/28M3UTgPzWDvKzhjlWc6t1i5MkgxuQNokIdgfgv3IBnabEtwOJraTk16MwDxXo1I8jsXjgl7r
h+IUBm1wUG2P2y7QQJn6Ptj0pZU/QX/Rr0HRnZIZq2ZGw4GZWh/cOtP7rlKwPjI9lUfVwfODHmQd
DSsGwtdiM6znIfoepRagH0+80/I/iSZbj1d8rb1Vf3rMuZ5GRftnUfqiM45IqNPDxXCJJSrw0O5M
7fkHx8YJV4z9XYR+F6J/Wb0gdZ1RJ0+E+irDh6ldVcmq6IYG8RyMWttjYkbbEO4IP3IfcYBBBTJn
fVPODhGpie3WR2S5PUAKhERFoC8GkjAc3onmizKjfYW6euvZ3hSs6kqo54EEoFt+Z1u7ny6TG7aX
JASGUSYmU6/jnNj+lj9LskDrGEebTnFbCpPkZnP2Pqo5bA/Qjx6DMHnM7TLeg8Cv9k1QpS+Y16tN
zca6Jw55haEc9lLthhsjNPptxD1PncwOK4kdhyq8ekAyMKxm6oRp9hwsc9jsjiRsV+t6HN9kibwA
yFZ8dFXk3GQkVmyiITYYEWdphec44js7jFr47KoqWWJccrE1k8DCilkwhCLYgwlVLT89Rl2rloCu
K74ffZ+0UY0HbJmHB6Y3MknVu9S2o2/pLFPACmVxKoSrq22rEpRjRtiCMw8n/KLgttPvAD7AOKZC
7iA9okiOUyTJuBg3ajYb/HBeBRa+6abMumG7N0SXwZ3OhUyMl5DsvlVS0XpsW8OynsBOYU+0v6J3
M/DOF91SknkhybzDaBHv7cHMxay0RPfqyfVuPQG0M4xacpdTVuWmTQQwvbz9ogAcHK3OhawQkwi8
gN4ubMUY4RjCvLcLGd2BPxD7Om6SPRATCiDLJVk4gl2DD7PK5cUcuk1D8SdYRzarhCnFJWik/djn
JBRD+befOPiLO+QT8X74ijI2CeLb20lOwLE2cfsiaKj0mua/4urz5vUEgpwxG2ggXP9LULLvcl6s
FAiUZ9vyb/qAnaU3jQU5A6W7trTzMwxM8QPldxlvsAWEn+ESwEwZ8pYEkjC5tLm3+/YJm/OwGZaB
F+TzAxLPagd4oz0j+ObnKhl8ofwfDtqYCzxzyjv4FaikKgqJny87fkWMBzcQ4OcrVikSOs2sAzUE
82g3pwvgzHQY0Lno+fLSw3+M0MjHtY76RXv7Lu6eh4mMadNuvimrRigFM3mfstG+nZcY6ol08O9O
5EPJMENv3AvZO/UaDR2UDWmisg+f4jgIjsh+KXf6ckVy8FmrJOHA08lpsr1fivJ/SY7uoLQuIdhc
2WSV9CRjW18h2cS3QRrqrOLizuEVk+fVjfAtx56v1/h6q13Z2R9F7PNjJJb0hogSMjGTWZxbLMTv
5PpF27AMvpOs7B/cCjI0VZKznoaMIoyIB7CBIQGOerAtkssdWmP7pKianpMl7Nu2+PkVnhGdyBU3
DjR245bi/b5TbGQ1i6mdV3cXi0K99bthL2amklBK5/aYtoVxOyx0Mb6Pp7hyeTmQXxsHE9wK8OfA
6jhhhN/w5glnQWV4R2aDecEhNkOhkMnJ8iOa4jQNmAyB0u4K/WDZbN/DBmCcN46sg0NsrLpzzmDD
HlkbEzgpx10zeDAauuwJ0vvtBM4N6SKyJaBrysJ2jEB6LSHEkw/QdDubCoezkNGos+3gpEer0UvL
c1CKjrAls3H4MY9IfC2XA9laItynwHA/SzJSN0QYBTDvmpmvFyQP/JdhM0E+iGmp02pXLSnxHflH
V0iK82liyY+7r8vWKSQJGbn3bpsEu94J3t3EOmc6ugC69faORGfYTOKe9XgKtLdfN7XaqLx5mfrk
VQ4lg9a2Qg1YEqCY3oftEG9mFiyPDdbatb0E3AsTXAfWm24zRG78Iu3EPWDUo6TRbbmBwr2JZkJD
6rgiUd6vjH3eBauov9fsmm4iKCunhGftPdehCteZV1F2d3hdVr3kCYgKebF6m71YDUhr61fdKRoc
HwFsc7RczlM4T7Pa+9jv6VaoFnBcT1wnOWDHtSkdk5GjW+xFnQd8jX5uv5hIT5YCqJJHX2fFD4Cd
GA2r3i4v/EeTU+FPz53PiCoz7F3J+XZDWhhAPWPQxsecUphxH473apyHY1QVaUyybme+StUY0NZy
cSEKRb7oIhvWmhk76Lk+bu84F0ATghDLvrs6GD5ir6OvY2gQDCyFUuIlzy3aZxCdyulfJAr5u8HQ
PMZTypfAjmmMb4HmIPeFoUSZmVUYpaDCtcdYlzPHVWMO5Mh68rmPrbjYZx5zqiJCX8Ek00Ffx+ot
u4skRsy1yOASLFkUaFU8f4ncceDyP+OHBCRicEmSZGKrHR21g3MrVyRvl5XNv4vxfx2k4/CaeMUH
BBpj3U3dB205rutalQmycPsjo+Bj4TYzsFoZCSORtjf98wD1npOi5H+bHnP9zeSWMSWlKV+LJOVZ
4h+b7Y0h3PaHAE3vrVvybHdVP8jPhIJ8Nw+Oe/TDyL1hy6pvySFARDWwE27IvN5VKpP3vetwosVe
xA8FvK6962NXLDTLhv1TPK0BpQXLpAtWWyuGn3w6/a7otL32rEQdTN08uNphDZmF4KUTh0jDZAk3
JHlHPzJZi3fkJADtI0tk7X/lIYbpko04feUkei4yZs8K5Y+yrLth6yyRiq1BuKK9xCzaS+CipzNx
l+HXJsP+K5FxBGMpyGjsB4f0AhF5IDYIcGSjuIe8UIDW89+LmCg7f4l75Idfg/IL+iPhcfadOcTv
AYBegDnUtKt+HN6cqgNx6UT1NnXmax8PpB/gHVv15oxLmFSQtdvl86aeXskaTlvws8Sa3bIRJOyi
r63nqKo3w5Q2+0D580sxxMTvRtABCKsfN1pbpHRkzUkUS7yGN+N6kyYxkAKScV+ZnPW9+x3fUjxt
kwJAjBkMzU0C+HmrGYE9OGkIQDgppPPEsmnewWQJ77HlqV0H3u4tBFOczQwd0iCEtN00+QtpxpyI
qY/gNAjUfY+hbj9Il6i+JqhJwWaLQshRMocBWtoQUfGQJslTjP/uAdpdnpPFriIopLapztj2KAki
dLkb+KT0aam3DmehH/WUWgcl+2Hv6IAGjThhNohH0DqsTgXm4eWm9mg8tl6AsrVCEICKGQG7xp6y
AlYyMU0ZsHzNBoG/ahzQK1dPdGZUKZ3T7P2yEjfJmAy7fMqWhGf7O/u38EwhklwyqkloHDQ0JHO5
gHU5aocEAxlo4uEGd7785oGOzCNz3CVKELvbdd4hrarmXM2WgufWmg/xaA97lgyMObtqRIZL1UJM
TTGGj/GgXcJ6at5KwlLQqwvnzGrauvKpOtQHhL7cWIuSm+0a1LJy9mxkFJU/X4pZe7+miWC0PdsX
ekC2bvo0NlBDfQLKNoQ2F0/R7PR3oq+uRjRvCqZ5N7Xu3KOTeQi/TRJsz1ERMYyrTTnzLzR4GxNo
9etgLn/VqMGK1eiyUvFK0X9mSAd2nZGFBxHB21uVbWXvAV1YZ8fUhwzM5Xs6IOPZBoNBRm5ElMUL
3+/3ya6TPWEvsHga9uqrKLdo23SIAbB9NZ0k3seOAkU/WrGECsiYjuEO+ztzg37RIL9L9OTspi4r
xQZ474Q/Ye3XRf/WTWK6JhP3Y1V7CaE6NAbwH88eGmwUyq7ksmFnTv2PR049dDUAQrwDrbiD+ZCt
utK8smvYKRjfhJJNz1Ym08/ZyLFCBI33yQYuuMjeOqk+EYhzyellWkTYIxwCZWV49ozy1WAhe1da
dQMIprD4VVgkaKei+j4GSQfzECYHkmflMgqmZvhgBkrnYdfiLrJhSCAMAqHsF/kdi399JNs3IPNb
O+Y5yhWPdtKxYDJkDZ7aeAsb3XwPYuqNtVsOJiktUBfp42XyETKspE1wRncvMCwf0OwEfEF9/Y3B
0Bv09h+jDjKucbd5Fthijoo4q3TFdapeLfpPHER4/TmFzOkwNtTp9Bot3RTq19SnZ9lEgRq2wHmK
e/wH8zosfPeuw1W5tatsPMwFSSJrJn2kyrTREm+P+3iORgAPI51oZ6ynTKy/GpyUscRu9pp7Nl4W
Ye2lxRQjavXBN+yAVYbhE7Wl7fvSMYcLaTHi1HEePSDyMNYzk34Ak1pfMxk5B7vrote4K3Bmp12K
1mEJMiAoFzGH4Qz7tl/m40baWKDox8V91uQ+C68OCjKIo1JJxERexE2gwBPlqwG6DgED0QaqECFv
PbkCXWEj8ilmF4hv6XvJhpTGYut77a/EUt2mK8MatGOCnKFJs3lrC+vJY7a/VqZFbgCnKYTnKb8Y
mX2VBHjvWreUwNpn7xaaJBpCpfUPUuFqApD80b+HiTBCFJVzcGsqK39gSRs82oajryyw3R+kEhVn
Y3LZq4HmJY/dA14VRVm/FiX0ewdk+nES3WvLHBqhdA8AmwhQHKWAqfdcpehdwIbd9Xb+gAQvvaCw
RNwRtGLjjP5LncP6aYFsUUr6Onmu0etcR3It9MrsneRF1zM7AsOfETepocIVNt80/CDWRRpi0M4n
79jG6T7Ox/gkc8U4MvT9UyJBcIRE3vUi9w9FORVHZhnDGjV8zhOhx5NVIZyZk4b5ZuN58OLhqryG
OPVASQrxzXDFg9+EzwG2gWvcRMXGC+niwNWiYh1lvMl1ch+zJ1SooQ6EGPD8BATlTEnF5BXfwy1o
M5LfmvQoKGfvCwKHDiNN1CWYcqzJNE/ipvKC8sDc78NvqyfHnM5RxMLIN+SpqHOWNpD++0MSavM1
bmrg8Blub+k4+bMFXlOtOnbSxwIrrlW6mJfjFE2II/VGWXb9kqV8UD4ozhVtcg3xjUW1yfIBahR6
pXpdE+S5iyCuH2xDIesAbbHOzbrajWnHAEAD4zdXVcReNnbM7J5jesiWlbzecnOUO3aS5rm3h59V
YzHraSN5CBUU/VXGKvKWc0uu0X9NJ/QEDtvpCFQyAa235OaNh6D35wckltl2ViEjqcAqHmqKi4ex
m+xtFOfV25QNIN/iXg9nnUNEjgPL/+VqEb4MAPlX8UxTykQaQDxP/gwrTcngW6GyaQMPlalBXBrg
Lm2AwoWMjwnmz2MeezYGa1fdigIDESlV8IuCUXRXZgPxRwbvj+iCCtiNYBCJ3MFyz5PbOq/wBjTn
2dwyNdSSwIAJtfyU6gzdlmKfIJ3gow4D50ShEn0wJKSGSJZRlKiTe0UTntMI9LDUutdlFPTNDFFl
YX83u7c5dO0XphvqDX3afMdsQ5AtHhrbuQmSn7HhWA9AMdkchGX2FCYh9iA7ob0HjAD4oPIeJWbf
fdzXENZAYD8MEetzYth6iBKEG/4qLTE8FlyvLGam8K4OainRTgBeyDtgXkYShqc+F2IHapetQusX
5jXLpvGNMYt7w8oq2/ql38NOHZ32jo2Bg1mdBtwop/QxLY0fSdv4GNG5P/ssPIEjAmYkZHMX1dp6
l8XAWDHlmVkVsFm4E5WBMIhwho7I9WOLfZ70CgP+3sy6eGWPfbPJCq/azQ2DjCoJxjUMYuuXnfjh
GYUO6c6VARoMrFkfX12Kgx3LuPCUlzyHxK3k/Gxp9WmdmRawjbIfxrINH5IgKLcRQoCnIlSP3K7U
PJJemutXkPTpeezS4vTcppl+dsd4hntbsXgChcHOmrJ2Q42cfgsAFzKMNsL4dXA8Zm5BloyMHZhv
z+hqOKKUke485NxglNz5vaiUu/chOKzbLhfrgJZzHSRQ8djuTI9Mw7qDlN6i7ltm75XZt78Q1+CU
KiP5ONfQIjBi4E6yp3ZF0xWcqnR0mWmwieFRrUk2zEfGJy0hDOxVsVMgy1P8LNlg5/p2UN09aLoO
ZRycij4I/R1qMmrOSJGwx+rmsR3gYEVDKw+mA+Rv3frWKGkqgUfNhgvBjrw9Min4DHBriZ3KSM8q
hzG8bZKexC1yMWCB8fePsEcwy/ccn4/c+smBY9wM4QQr080M31jJLOMM+g+0YkmS2Nm0i4dRWuvM
L3/Kugy3WobZWwZKmhUKkuFnN2P/IVFfXYciTL6TBDbcSsHShTktYtgURAknUlLcf4nA/z8WwqNb
x1fwF0L4tn3Pf48Q+Mcf+A2qAx8HizFXAspuF7YAyvh/6N+B6nw5ljwXXa5jf/2T/4TqeH8HxCZh
IuGXZJUrkMb/poC3FyIB8neQT4vfyMOz/CeIzl9BdfAN/UF57juBicdLYnwnztbhtf6kgYfrMZqx
0YpDGENnWhH/Q+hwb4UCviKwjILHaM6uviJnGIWW8Is1soSOLpUIa5I3Og/0KfhVD8cb8q9d4Zsg
FUUue0hrRh8qtNsOwm/Sdre2ZTk/J2sRKBrc4idHZj05Qswy1k4wqCOZ49sEGuPVUYV9HzBVuo1Y
ntJcGgUc80Ad2yhkJ207j76DnZNPcNqbldVsSkRkN+h8dq1PWAMhxVvpipOX52uvApA5N+O8RppX
rOzlQJobv9x5DJA3TtqjtpWIK8o6uAkjw7odjDaCqBN/LyylzoRHIhdE2oQAEiNuKcUnB6lcj0P7
gQrM36cVKO2OcCno/OF0RIfU3c9BMJ5S8I+fQQ3QN5us9lRY3bunDf8AeQ4EdQ9BbQx4TV+Rrz14
1m1X68+5ZzFswi1eOQnezpog5WT+QR9+NDDtdHn4Dafnme744lDKEvFxyh2yTmITjaRXGx8OoJ5d
qMVnllVAZhDKp+5EXMxUgmcQT1HAsJiB+LyVKVKjPCpLdoLJtyyWett53qubmJekgRznk6PSjs1a
9breEn3kb/zeAGc9tg2tj0X2YzkheHT2KMVpOrLuCmKaReQM023r4Fk4jJXzYxoN9B6Na95DqLfv
pl6iKmuc/nveEqmwKt0h+rBDF90C29Nr2gsOVGt0PpqmN/ZZX/t3OYT+M5Ll6VcTdMMKSCW+rhKR
3RmF0Xhp4vTOtCr1y2lG5AFThbEngheUtyXHpcq6zyrt6SB8xBt1cEoRQq2tyOKGnI1G3FGsEyme
+de0xLE9uvODH5f3qWfujWj0wIer8SiHjKC1uiOVxkxD+4pSut4oOX2ANNU738i+Q1EYblrPPRp2
NgN+stv0wfN6RPIokc7a9Bncuei4kmpknyjmdekU07lLvTvLcOQDhq/WungeyZssXwqr3hSToVjR
OmlOJFlO7b8m+CJCDBFkLoaFgTe7ySqH5y5xe252Vh15tnVmUun3qUpc3jBRzA+N78MGSkTesm1R
ApBr5s6mue6HmhFexSwu2gKrnSLkNbFymdCVobcJs3Bk2ZdYtPCw5WK9KqKGLZjhqLw79KQZdKSL
wApeJamjqm+o/IjQ5HmGf4eZ2186MnOBVA5kjN/KmBYaYwFChHNYx9m489FVWdA0m4a0LzBN5TGV
mVH+qohQJ6IhYVO0gxMKkypiIu1SoIQFgRphAMkLyiTTwWgwZbmPhTuRXiMZcWw7hk/xLswNv/0s
7SEmN8eCurexyonRfVEH8rtpR9O3YuSJCbqE+X3U+NMGbpTCwwvktzwgrspQNA0A7NeUloAUZZnh
9KGc4sPyUgMxh7OFRBw9p4nJE9KxcreB6iK6KvJHUtC7n2NYQytRMY4MtCrKSq9umeTJbu6dwt/m
QKKj2zglDfvMTCjeR4NGukr6PFto0/VnsSHQuEr2eR971hHJYZd91I3Rq13gpcha7BzgHyQMi5Io
8Ah21338EBSzuWWLwwv2VbphHz7wRqvY649TqBu5qlnDZiRqwCyyvxOnEy9Jnd37WJTAnbJY1zd9
2aKnj/05OeaaestnKgtizGG61D4lnfcUd/rVLxK9aYt6eiPyrGbTFmf3IgEn0asIx0hRdI8O9Pzd
MLT+W2TX1Jaic+bvljl/jm6PsNHsi5fQaDbQb0FUAXDMkcecXf67AC07AC2CI3Qc8kvXDKnYB0bI
J4qKbhEDjgbtEAPhu6nJCEuJddjvo7Hq7E3psQfZ2kWRjWdO7Zehc7S3cyF9PgLdzcRDmBFUuss8
j4UGthFKyoIonol9gn6QGXLEQ+Zg4xggsmG+8SyCLFy2C6tR5W28IcFZPTUly/zvNARdc5pRBTFX
HVTrrmo41fC9yDoe9Q/NqJWoFH7L1spnn4deuZp3VtguWYXtcO26Sd05BtvNQWh944v+fkp75xjG
bnLv0zHRlFInGrPpMVvL9FvL2vC+MsxArQY8W08tIMr7KWzy7DoQ0fyjwBl86NN5hBmTewaaVD9/
d0Nl3QMAY/vCTPxOd0teBjI+/0dEvfstU0insaxInDmN6MOUcDfh//Kzub5UUz/+CqkpMS0Ddc+e
kKVTzHoGinpbuHG89UozyX4p30VsTASDeZsOg/tQlpb7LR+NBIyZIvwncFAKXGBQsJsopnhrFEHz
VEZ1Re55OhY/bc8vfw0osl/H2kb2WjtxsHFljgyX0Q7NuNK0oUbJ6jPKWiO/QS7gPKEIrPNLUWk/
RdNTOi7Lb2NItkSd+69eGQmimtpA75MqLO2Ta6VQU41muHdT238yyyK7FIqZH5PZ0HvOGkt+n4Fy
XNTEqYphdopeXVji97a2IgxEU4Y6A8/ZxrfBDQKEo/uKpIWk0O6Og2OnEOAdJhmyH5eoxhTi7c5n
nE4WrjE5mKSCuX3WUDJvmYMw9dRRy5zJjbIZ8ZaBzH5ZDS3JQkNNTkhjYqxjfzBlW+iw5antdG/v
ZiFaed8kQ/aat/AodmUUiUVIOYT4vKFHJKegaAS7yrDvQnSottHQgSy8vPqLncck15jupMtS4h5M
OkN0/cXaMxiI+6tWLFFfFS1URGrnwubLjXQkFcynS99HTSCjiyoMWH7DgvWzvgh/TjVL8zImycwG
/YsCWMEDDL7IgHNiTFACayWrlxAdvka8jtYjWaAIWCaKlEc+YHeOCBsvTIrvcz92dfAU6ty9T6hc
mJqEnPsuGqKD4YAvDCQgw2pBGnKf5XdiwRwyuvP3mMhYCRIZyMo2aedLGzp+tyrYkpwVUmlQQv+g
Jy4gRe27MBXRBFE+wFlsJ7CkqgkfzAXB2LQq3Hbg+fA4VMOrb/X1GRx/9Jy0NSDhFkouwjM3enK+
+I5UNwXfMNBHaKrwH5lQwIIUX1xIVo4wIueqk2IdIpHpriS7mXc+4nNkprF4dr4ok9kXcRKj+kKf
7L5IlAuUknx18TxZg+JrniYv2gZT3z9qQRrNEYolHaI9R59ccxyWYTMy0hvgOEaHTJnh1qL/eK+s
PDhPDJius1Nea8/S+xZ5CAD+Kls1xSxhF6ITLHp5rmfJ4NruniJXpRb88hDAsZzfuTCSx8izs8+q
r4Z9ndYW7B5hpGhTGmJ9aJPqzygiFqssZXiMMnM8ZEPOBVXp2GNNrJrE2pqtcHY1yCVmQOj1mj07
6ii8kTF2vbYcmRGPGndFih51XXdT+VG100dXG8zcOkvleDBNW0LYFxkSfoZTSfIv7PkLWOV/e23/
ueNZyB+/89oK1I5miXPj6JRZ3a2EbJsT+QP/koPwX7wMdmfwb7breciY//gyA4yWMgyN8ejphv0z
BoiEJIja8f7F2/kjDmJ5O8v3azkschc4SvCn1wHGaXfIFfrj3Bf9e7Lc8O4SrLiKJh/Kk4ab8DMD
MA/Gu8tt/1+8ur18Wn/8NPFok0bsQIalu/3z21RjlBo4q7qj06hqh26je7T93N3hqZ35kbbZvV8j
MSLLaXpLp5IxB9XEYAZPM9WF81VmWARTLIVH4VL3z/qqvbI8uqJmrGKaEZELydwxFTZGld21TcNR
VXpzyFgrLlnaBJff9e7Xf/zV/1b0+UIT79r/+d/++Q3RCZuw8/lgF47Dn/AVM2pULyv76jirtkUT
QToDWealGs0tPuOAOz7KfHH8d19ULChBIqipTF3AQH/8sTR4D52BCQ0vGs0XAckjzTtmh9GJPIb6
/a9fbGnp//iV8WKWGfAG+S85zjIS+N0DAHjSLjLIJcdxVsZWNjbkXGOXm7r7F+/qn580BOeUIeRq
M+SAo/7HF8JrRWpZrYqjQobW3TlWFXJxQtrvD3/9jv5E61kegoXNSBdJmWgjPP7Tl0aslJPIWWbE
pDBsjntKirDXMdhcssv7TWoLGzgi48WAK29s79KxF84Vc96aiyj+7L+qv8oa2B01fTgf9Fd92HzV
in/9V/2nz8QC3RKYUMIsPha54BD+8OEbTtQ1pa+OaRyb3rHy++6qS02z9G+/DuxJKeFQMgcRC7jy
96/j1nFbR1EfH4uQZmDTsHVWZEBBSP56nf/b477/9/CifKZQHP7PU8HTe573f/vv73n1P/52fm/j
XDW/nxHyQ13+/G+YUVAYy4AQAAT8SYmZ/D+HhJ74u1gm2j5nAv/n+vxefhsSCvl3CwgWfAxAO4zv
lsnib0NCYf+dwhQVJqRJnnXX+beGhI77xxPD4HaB4Iay6U8/osLuI6vvCd3Nw4a5sRGOTMfRV7JP
UsNtRdRMuV1sb7ATDeb9q7510i064Po8aTTUVKz1Dt+5vHULpDvmhIUiYxV1IHoCl0UX4sOsAA4j
5EcMvglboprGULSruuymYw5GY5W1ZBux+Qbr28Xmtq3N+FDmTX2HYi39Rt5NQ9wlKuYcK8t67GHk
wdMPjsVMKStUkW/zIm5OuRqQLOM8emcQ6ZIejBhrEyYVQ4K2FHLjY9fYp+iHdgM6ylVZjdiLxkgk
j2VddAIJl+VfZtIhSf8odfcz8pBerUnCsJ+6wigfCElX07kmOeA84TO6VLY2dqEPzHKKnU8nmRk/
+i4xAkQdJquSeIwROxfOpDJ2Q0ZJCGLh4tnnOoHAw5Z9fjNSmhs9d+Jghfi/Uy+e4IBwcZ1bgnrZ
gmTEyBGmS6ANKeU5QjQGa8RfZP2qhGl+lolX/SDQemA4WRkb0lEtsmzJowhas/lZJkX6jelp9S1S
mMBNp7JfvTjVHnq+uDiRaDjt5yzoO7Q4qvnoaRVPogcWsUelmprU8a08jpgHyxUiTOPJMHLihmbH
C/lzfRb8mqyZxlrPrOdUZjRnEsCqd6NSMIRsZwjWRt51W2Vm5iacQYaxLURvv+5F021bVBmHYgYg
FM+utZnBiW8wNpsbTn/WvWie7QfX7nPULXwLG7sR1QvHvybYPKDJfG7FCDmU8HOIhtQYeBQzM8+R
paR+dJeDsj8GeR1fJUFKa6tqcJSWFWUpH1tDZHXdx9M1ZMy8ahs0Qg7/Sfva8Fd875kKWVtpdCYT
OlTyWEw6vS2MsdyFs0fOfcGrHGPHmHaEjYS/psrl79Tmgcy2g4XoA7YAAtNtSNv74Llt+B6YfUpY
VEjEqtSWvWXgKJNNHEyBuxM1+uAQGwNRJWVzX9JMoCcMsBnt+hmZhE2m7YNysuiXJCsW9B7RzBPp
a9ValhYhdNn/Yu9MluNGuiz9Kr/1upHmcEyORfcCMQeDwUGURGkDY0gi5nnG0/cHpjKTYmZL9dei
zMqsdqmUyBgAuF+/95zv1HXbYSebGyLNVdox/SYb9qtvadPTzND3vcHLWutC041nATWYRxolI9K0
OWtwzxiK+HEjasjbg+zX9tdZnytjnSZEansqlQXhlz22XtfCrLqVGrkut2EEXgN2BCN+VDSjHXoV
GzFsVegU74zISUitLzVGi63V5KTU6pVarESd+EZgRXEg3GjRKGYzOSMVDGJEIMK3jjqnocYjx8y9
T8fxixS9eZj0wvpi5nO65xTX3o+BVZ7GjrnXjJ/+li/FNVe6KscPoxYHT6bBbptBQTyUk9/uaomS
ATIO7REnceW7tGwyPuscIhTMBgj0fJkplvR4HkgxnOqox8bgduVmqOdu74Za8M6VJZlIPTSGWhYE
goyt1n6gJRdeIvJmL4GPEs2u/Ok8E3R0Sz4UyUWTld3S3LRaL6g1Bi2mPpmfNWTBJL44Bn6PbBbF
iSaXgJRSYFTxY7QdoUDhRDN2NZju5yRPyk2aYx1CQcBgpsNXEjFZPiGjsj4r8LOIzTvypuACVGhf
iDfZlGQIrSIYEv1KT3TCN3tpWQdQMAX434gYAYXdMVq3jvRPcbww/mwMrSERTJiyS+WfrEbHVF1r
Ak1eVTsNGIm0FU9WabrvbaOjD9A07j0zojtSo4dVQPqCh3o431oavjxvtLrywbZ69yorU/Ahphl9
KWRoHjtrhsrTd4Lz85jiQzOijdVAkTDmItnLSLPWKcPLDQrlAbSZU2+KZU3Psfyuq9bUCN4eIVIE
DQ2UCLnxzhoMlxlAGp011r3rjBKYSEAajqHl92sE1M29xTp/S9Qh1nBKsBFRflLtGFSbt3ZnJg96
A2FYd3KEWFOUECmgpEsyyxjvhSuiPSa5AahGoB1LN7T2uLjzYpWOpNqvyyGLrwMrG4hvMob5Aoyu
2cdJFt2TKhEfhrG9Q4+H14/V0gTYH7vyE/u2e0XjCF2TZZHLMItyYZAGNI9B22eIHODUMR5uxw8Y
vcLnOE6Ce7QF/oMsSbrg6RjcC9gqyK5NjR8okPUToF37Ywdzbz2KGaICCQ1702xnh+AFXdvmC5ra
i2BF3GWj4ZzSerZxos7Dqa81k4ETwg5GT7p/5LBKqpAIhoMrI/JJw9k4tFqPZtDS23braHF6bzkM
eyIGg4jwy7D+hg4lCs/S6WfYzYaOUjKZhWRsUhBrSs/zFIL7WQWTj0NdKPM0q6z/JJsg3tK16ggN
y6xd72YkhQaRCksPeh0kft0EkI8c7wxrlEPg7Fbym9EX+TlULL9JM5H5I9Q8e1Wnmi8+pD1897nc
9kOlHWc1d98yxZKMe65/B0eHs5xjWjRtnEAdEe0kTygCmHXkrgxugiQUGUq3Otoi7zBWi/Hw0HWm
yW5QOt2VM+j6VZ+JYe1qotvh8o12iFhZ6TR+5hDpQXIqKn+8jVVo7zAqxMfGVhXfZlu99wfSZDO2
EwT3E8ZEQifvB6uet/R+nIcmduEd9IOxnzEwrxXBMFd4K8+hwFDc9BoC37nB0+LEtnNy2Vcv/7Vl
/HJe+DNMgAn09/PD+ql9+uEP6ByjdrrrvtXT/TfSSdo/htfLv/yP/uW/vr38ll/l4iyAzJ9V6Fff
ajJxfijKf/+R70W5Q+nNcdzVBRkhtqP/ObknFUDhBSeQRregwxoLoO4P9j8ZOkLBZDXZIx1A2NT4
34ty2P8mKiJ+n+R3OdK2/53JvbT/xtnkZAeXlogdonoMw35TnLtdrA1JoicbgwxQG0bHQKCtnZLj
wRs65TGiLF908spmRd2LjBYNhXMC1ihzy+sw0dqP5gB4GlhQGD/aJV3FlRB5cUCbz7QTN7Zy2MHb
HF1Wr25E2Nrq0Nv2EMFOqIov5rzAvDEM18dO2B2Jg0XUgatB0IIFdA7tZNPi7cw9jM7MjmJT2OsQ
zszXvLSsbK16ZZOOZsQ1kfMpRnlvQhdKdq+WOO/FxGqHPT0cT9YMuHVuqro7qlDYH6t5kB99h65+
E2rDDUMZKK/93GjwYERwhBqFvDJKwmapUzoXpVkyn5t8QHqdagLmRU8KW39EC8xxYuD8wE4yhfKd
wNNpbTEnRSni/RnHANgz4tMGtA05QgFmTjehQ476xgrptK1gLWGIbKohHW5sBjANAV0mylTpm8zz
yiKh0RfG+kjb2QlqAWc1KylZx+IkiVUgVySa6lMxxcLaF3glzJVNIwWoAP6Td8MsiUbzE8lYs21H
koQYXoBigEtHvJo9lMmXRCvmkkKoSxcQb8ILYKhUjyJq4ptE88kpyh3zQai43zNCnc5+Mbm3MFXz
1ovcuB43TQM2QxoGa8ocYwza2UGdHMt6FMGKGm78IMrEuUsqYX8RI+Q4ml+dhZ0RRYDNgEvNmUd6
e7rprAZUQBd1H1Vgmf12SM1GrZSATY7P1qmu4qzL35kgElovVhXRmWXLYfFgjpgYVmBWRiAUvAJG
fNFnm64zjPs4M4s9HPnorsnAKHi9HttfdBGiDatCSWYxddtwjtM+5LRnpEQJ6vY3Mw/RkfuzxXTK
792Rr8Cf3YPZazFIPrAl/rpjAeff6fbnyuFM42W2QGA8zG42rogGL83tICTQlgnvoU/IH36ZNY6X
GWtb3zmfqjwIaw+QTHNs1IzBnmIYOXClStLrRFl3zzaBveaaX5ETCy/wD60yxGY9JtEFRQYek73O
yP07sHSBJ4lSH7bJyAfzBpL2dOL3JgB1zJjqU4VD7uuCDxQHlWliBdEcTZ+dxgWAhsEMcbLzRGfv
MG2odeN0ChMeDkD5kthcxx9KJMip03FA6erBQbpqgxYQkiz1jolWipCWqgYAzodcDmKHImHeOKTm
ngK3Sa+mkDRoNNx+BX12wEI24biG+4TY+0M9cIbs0Qvp1jIqdI22jI8mto13QRhv2rSZeog/SEkP
nNKZkSaxdS26hU7SookceAEjZLRMnnp5YVYzn2RPAPgKC13WESTqJ9MHuiGVRq986kXgGcg2ky11
IicaZvAx49AsTqKLD8rofuhy+5KkQ1WuaRSjkyHCNp9voiTVp5XOI9NtXau0KalVMKL0dEmaVwfb
hXaLg6Cb5msNrcQHLFYO/lSjxa3UjeY0xMCjZefstXZimff8JkR/FyTMtxlCV0/Mu65ybEGcYCn+
J+DEgidpVVod7GvL4tN6/9sq3Ul0ZYdPKBvL20b27Q5jeLL9r923X2/b//e/EZxW2saS1vH/b7/d
dl/BXH+r6+n1Bv/9x37f4BVdMtfEoGgKi14S58A/u27WbxaNM67V9x3+r66bTqvOXBC0tJptF2YM
rbrvG7wuflOSnrFrGCBe6e/9W103qotXXXpCUmwA0qbNJMI1F5b0gox91aX/6/7hnP7JB7OIwwB3
VdA5q5R13EuqbiTWzjmVufHl1Tf1yxHI31/6TWUhY91JEtEg/UIg5wUhpAUSrvdl4l+GCnnYz19N
Lp/kr3kEnUUpHJ1yyrAEUkgp37TE4UzEdssSBLU9MSnKicCCkEYjTMlkOzXlo0AXtONKV5s07dTG
dXq2gFIQUG13j5wFoAnMwYc4S255kK8RZq0gT1peKwi2r3wyRYmu9zBPXukI1jc/f/fEQf3t7VPS
KZr5xATQ2jeXC/nqQsk6Q/3VV4CEkhbMt2HEjVe0EECqHsar1s7IBUvSN+fEGG+p2qJ3pm/dyLES
a0TIDeaM6jGZiYyOlfikmfkJjM9OFsklcHoLSml0aCu6huPAv5UZa1O+HHeCQe3wdxL1oabqEFRS
PGj5YrxCZ70vEN5NED+c+W6CtBmH0aa3wnvTwlg0DZeGNlwyhJu+y9b4m9pVECV39P/uy3QiF+Pr
tPQStdH7PKLF2EF4mtatkTnXRe2iKdTLBFZP1x1kiO0XAGyK04IPM+bGB7PWjZ1MZfBgJ+Iu11Ks
ni6vjEMmPUlIV0/44h2Ct+ORxKm2vpJxOuIYy4XjQQyt16beRah8HBokLOuoJZNgS6DiuLYoao4m
rc2TUsnsmWDdMLf4JuelJj+2TaE+GwL1dZBHxY2iw+R1LiFzC7nj85j4cHiGUF5Ka8Zo0bWCQvFq
kOFwHsSMjEcokp7B3xVby5bzMUdXw5ZJ3F6f61vEquXXKIq/RgFgoQGiJu23atia9qK1waFYTOER
4+Unjq3Hir5I0NsYAbk0VjPVe73hB0pYFPsh8+N1mjXVNZPHzdgVD07K9f75DSlZgH54nJQlzGX1
MLklGT2/TZhCJKdXRN2h4k3TPECsOBd4KqsWbFmOA3+3jIse8LOOJ7hz2ufQt/TKKxUeJjLOi5MC
XzRKDD69TzXederbiF/7nZGIdNdYPrJbWsj3oVEkHxG1dNcO7L7nl4/wPzOlX5xYDcEle3W1lzPx
97Pu+Sn79n/+17soSaIfpObff+T7hqZ+c6VyOWb+PitazqXfteYKFbqwJVqB70D1P5TmCjm5QocO
gl23lm3wz+1MOr8J5kpCMdynflm2xz8O69/3kJ8pzZfT8qvbkpMw41n2WRJk8Ygr02L3fr1M4kfm
iJVLuTehwBznBVYSFNG1yRzk6IzYTcNqXlDSjDWg847voyEJkE3nQG9EG651bG5ehqz0Sxw2+tpv
S+c+5zRyKLSyvWb8EP5iW1p2nb92pb+/32XZf7Ws0yi32wgM054T4bCfTEhDJY5Pjpn+WpQCWRNt
umsymPzdq0v6/Zt7LUBg7PeLl36z/5a2mZV1iRU5ChqOZwTvnJOkUtu5GosNrLhiPbupBrUI1gbo
kpuR8xrpo262dnFRr2DU1Ptpzq1lFETwqIuQ3KnDG+lKFu2Sb882xpvU8INrv0X7jjcdrCEg633D
UKFk8FSn0SJz5byHMIcFrkwVmF0I9fN6AmN7W4QZEtw260iVEMEpQUfsYfqJNmkps2PmiuLa6tzo
Gt3R8Cnshnata2VxwnMrN7hPq21dthuRf5mwvx9YpHZai4OJxis+VagfaKXQWDkIz3apkVJ/j0G0
jZ3uS1y7DWkXhSRMN7Lwa+UgnFnewFRyWtzUIcrgQsbvEb3ddNNwV8VlfWiG9ZBqj2aTu1dtGmfH
KXY/NrPUdhZnohrNFNBFW57iObiG0hbh1UN/oaYYcUkXYcdFQNUr5wkt5bzGcoOLwI2PRk8fU/bT
zShCa9tgYN10BIutkHq1R2DjRHR1vkRPHZ0LTPDbsRb7OigeUnM8+vPkr4O6BN2D5lgLVkVcoVn0
LS8wAMBSBaF7gzS8jWZs50WszI0csEZDX8VANoliwweDmRaV7cFCX/95CBBzI5OFskF/dtpTNNwN
nWsceWpgUnVX/uRSJCnZb8twfBh7rb8bs7ElWhFkfGl3tG2Gco8R5EHPx2ETwe/D58g1CUl+vXE7
MsF6w0hPbriUOai8GmX7B5XbYtdGoX8wOQqvFDipTVXAWSV2xloxM1liRIz5QRsrerjBRoMftUKf
fZiNmmFSGKUkfnA3j5ahbYcSkS+UHKZESTdBvA0FdNE22tEWuJhO/tACrqsxX+wqTJhuiKxTuOvG
hvDCbIzIhsEkQz7p97bRDqsEBdoqd5jppGie9BSh6eDCP+9dmKxcTS8zaXlYHyBBIwM0JuWFFtMQ
I+3ihXelVjB0qGhwhVeOArqUDvd6LsSVFtAMtocRVgP+Z0aHrXM1FWXyLjbwjU/gXoDGYujDPJqo
UVtlUwg+r4vPthpJZKPBjumYuWobC/JQNLnTBkYXUiNP3aa9L0dmgQj5AgveXKbuI0V/pprGh3aE
r1BGq7YNz32lQ5u35vUAWHNsPsxpdeMs9jlHdPchaIH3EtXSliblJofsm9D6QENdY/Yl/SHLEfbW
GxB+2yrMvtBe3rQzsU5In/tVJZtwRTPq7E52uNOZHkdxBYfFPRKReTM6wTH2c3md2RV9Bh+h4jbw
bbB/hVE0F50TE997Lt6NzbRtqALvtQawBm5W8ijcfvzSUwF6Iq9hHks4509hGvFnPtaB5jb99hTt
MEP8jt5XVaZbe2rJwgwX715l5HtI1flBJpIUHTC66zpLrDvlQ2ZMe+Y9MXlde4DT4TKorhfG7fuM
ImfF6jdcTWLoHmqX9svM6MgzoM7uhlBv9oQDRsRV5M7CKRrFwa26+r7ys+526ID54YDF6TTE/MMY
OmY/G+GqTWtxYrp3U07TsZbGhNcoeZjyuD0mqKm5Bc0PdBbCTY1tAPMP9FV0RAB/JVGrssJ1KBTI
mtZME4gElPNxQjlPEl90CKCXeLFWLwaUCOSb6H0Wu8Z6zHLt6Pgz611srrJZxft8UPEaDci8p70z
Q+MunsGN7QXd9x3eJ7nS+iTZN270ydBqc2NG/p2DCYRkY58kYyIfvKSH7IRsWz9khBCf5/pXgZU/
ikZeNlBORdJCHqhzfHXeChNB2upwWPR94RZ3RZTZ+yxe/AKhdfXzDfNNjsvfX+lNaUEoJgQXGRj7
PugYzPnuN31ueg/mXIG53b7YEsHzaDH7cpeVt3SY7P78LRg/Ft2/vwV6BYjcOCDiqHtzhoWSNMR5
M+t7VisHuK4pNQ6h8IgU1oO1VhOHGVV68q5FIbxPcq06o/jDfg3p5goMdXUFZIGDRFM82ozv7jid
ueskrFnlA8b5ZwvBI7p3Ea3Rgwf7yG/zvRzHZkN0L4tgLo51JdTeKYNnhnxkK3EgWmV1BpGApSVo
lzHIn72Uf6hR/unavv64b868sZmiAUgsfQ/E379HsmGspgk1BrO2efXzl/pRj/n9m3XQRuKMM03F
1OSHOkwfND9r6ZLuo855bh1wDpNlfjZohqxrq3z8+Yv9LVGZK8io569XWwKlXlV9WuTTmy1iubei
/nbuLOOjkYUdvvfgqx7Vi9k/aaH+pCHzWTnvW21EjJ+UJCbYQXvtxugsuJLrhscQt9a4jZuuPXb+
MkzEVLSOgCquAXKKddjG1lpORX4rYvLNy6QeGSbr/LYijlDna4SCUJRUS3liUqf8/HMuH+NNcUvF
T5IDgxKkZW8loEmGR19jH9nblRWsEtsXoCZlQulma7dRj5UNWBEC+Z+/6j89qD+87JuaWsIAqUXB
kBPnG49GvcAddXbm2k+8qBbaMZ/Gs888+zZdqhxnABTxn3gLLEouAWyK1G73zYOaCn1syizS90bE
gKxhS4ysBoyb7eOFgdGQlvaNpQT1pmF/ZtWvfm/Y0kf9K439dXX/D7czSVh/vf6bJ6cD8IxAB/hJ
m3afQaaO5zb3jWNW2dzYWvCLZsByUnh7nW0lLK6xjgT9rZgZ1KhWt4USe8to4pM+oMGJMJb/ogf2
D6sB3+dfr/LmMzWGMPrUKkxYCKPuDXxAr1nwe5ld/uLy/dMrLR9FSIW0dRmh/vB46qXb5fNsi/3s
D4M3KP1jarsH9plffKJ/vFNfv9CbdYDzB6YazKrsJqXzLRramxjE/A7ghu/BYDHeJUGL9RULbQgM
gkJZlm35iyjbfzgym0I4NESVkIta+82+5ofjUDkRaR/Aq8v9PNT9QylN/RBFo7EvjfF9UboLVRWo
WYRwcYUhrVo5FUZGJ9OeNAfWHUh0Vkyqi/wqCbKPdm2kt3okP8Q1M96fP1rG3282k/E21nSaErxj
681tQABT4mdzzVsLuqt8gumqh8RGoQ0SK6gf16Nrj5uyE/uuwVcaDFHpcQjVtiBuKN+tHJ0cspR1
3ecHylR/Exc6uZqcacCtTvQjq+eyHIKDqBa9FnQI3ekrL8Llh0FO2ShJo3ZTzsBHMXlXTMO+kYbJ
UG2ospWwe/PUNM39y0f+n0bVLxpVjgvIfgm//rNm+FurinTAp+wp/9dT/vVfZzRdl6f6X4cm5Y/N
64HMn7/p9w6Wa/xGrC/qeKA3sA3EIuD4vYPlMqwh1xmFkktTE4U/D8MfmgvjN/4PTwjTA2TKHDP+
7GExrAHjw5zGoTeP48H+t0Yy+o/bpoMNU4c7AsGWd8Zyx2/7YflpmgoAVDTWu3BgQB9b2SUvFQIM
x4HW4hMUwr3+zLpQkgObXNAcUXEisVxVvUBSVuBwVXmz9kekFiQmfegLHtpXX/I/FGZvFq6Xt6hQ
jLsWnd8lJvHNW6QtgQYlCQCUZIhYNVTFcIAqg6One+qZXZrGeLabbk3oDcFhNvP4/9QbwPgk+aoc
GMk/fkeSDV0NZkrs66KiNeaxXxHCvqix/U24yJ863+cg7lIWhZgiY5338fO38OMm8ftXYLMI6SYD
JaEWXfzrGq4xI1mnWVrtgG4x89Wdhy60zlH1q077mz7dHy9k8zImdERpvPmo4HubdmL8u8sLYkXb
oHW3Tls+FlXmblHxApFBlkPJSOeyHwYXIqXIT9oo7yz6mifwWtrGIJrhqYmtYVOPUtwbCafw5bnY
udZYHzp4W7saFMBGKzktJIhKOG2WJWywvgUwEMx0meRtpYWgXHy+yKmyPzV+cxB1o9ZEZqDky5EX
c/YkdMyaw+vJfz9DIGKsND/gkre25jiM57FJnnVjTjZNn15yjYistPZR3Lnf6NbcG7Pz8edX6Mfe
6vLF8UgIJYROL5iifrmCr6psZ85FGkRVubMMX22icfoEP2mtzBp8s5TIh0L6T07Vu78ovl6Sd/+q
h5YXxl0BhoUhBgHKLCM/vnBWuk4JvifeKRgDG0U78OCoud1LWUqglU2zjpy5XxW1tK6yiQc6b+Jy
5aicC5qOcpOGwRadobuyHJ4pfBzJ2vVpfhbVMO3SmMnl0p5PqORQOP/8O3s711neu43Zw2W+Q+y3
Q/bpD1+a6Fyzn5ww3SEwy9eVZllXQQht3eiRRg9dsUmcNt21fpudSzKsekM/LC105PgEvmX24fcF
yByhmJxsxx491dBpcTU+NB4zGhepEZF0MH/5+fv++7U2iWzFSCdZkPAnsmu8vtYtUl5R97ztAeYG
3DMWBSUoW16+6NouXTT3LY4AM5X/VvH7crFt5vNYrdDJCTJof3zlThI617k1nOGeDK8eeIPnLor6
n3++H6ue318F/6VLycOHY8H58VXytITSW6XpLpycfOfUVXJEW3b5+Yso843a7+Xq4w+SKAt0Ti3y
zdVHuuc4BDSn9LfTZ9/xa2LNGxdBQG40SFp5yF1tYG8hnhnh3MxRzkqf9QA0XzmDw8m7kH2HIBZ9
sV+QuKRhrwjEPm24yZN4kJA9Sb3EGf6g2ehlBbx6OU71IYIrsE7GDnkRIvwtaacYN+isgDOzdgLf
ATkO8H2jijRaBICkxYWWfmKwhOW1w7Xh+vy8WSkFxJeRspz5r2rE4oEhtmCiEpFZBmjEC13kV1I2
H8Z2mXOXNMZADF2yObpYsXGXEVxw9CGZeaYRP6PhL/YEqkFAdfO9NoIL7mzhbtMieq4DOAwwLQwE
PZgIEqRgntK5v/OggVdWphe75x4kEu89A6d526fuQ8jNsSKcnvdt3OWRq+0HJFAbQ7aPes7TPiyr
9wQS7GM5WjA4NIjbiBXlKjF5sdSNzSfYYyzL0qGTOkSXJkDRZlRAYQM7RUUlrc85eUerACPkfc8J
2IujmY14tuG6pPGzHvKh+6BVa1JzqI3b9r6WZCQm7J4DffdgGOicKxbuoSubTcIGso6xB9Hj0R4d
lONr06/dlRsaCOlA70Osb8Itjxhseyu6MIJaUP5gzZhXA+GZ6FNmZnay0vJdrLsPVQMqidYnyHp/
CWzCbsnG0pur1ODSkDh3bxOPQNIGKNre3/lOfqlFw2ilg8OuOeSWu0CMQUiyWNZVDN01tbdVlT7D
fpBMpvoreM1I6ZPnFHn9jv5wA8afD9oMGagNg2hM7kCIMWqNVuRMsB7enIo9IDFMcmw61AXEliCr
WLbMqaC+SnReauqTZy3AfmRzZfGJPFt6wV8JklT6BMlETuAQfqOsQeUQPBfLBDHHwOSRyaaIWYFG
jlPCC9F8rtI5u2BKS2865MArWBDqHR3s7RyHFxv6+j4Er3plI9QWLXD7mvL0RGQHtdVyYagMzo2N
dymhZb56uXengdtGwIryGvwSRIVGFwW53LMC484gVXVHwsRFiR5EE3e4Th/Je7lx65n37efj1hnN
fKNn9m5C6lq6FDJhRdzKyyOQcYdhCr9r2hrGa0/xyfxlBrTIxeqipdrQ+H1FVhqeCrmDCIVAhit4
XMquYOIEI+cEuIL46MGPVqXipi3a6PLyxnm7VDGcsknhYk/jWIpIw+qaj6CGgNu3ZLiRE8Gj5oTl
deG6FRYUrh3hJMlmrkhFskfeE0JEL2rdeBWToFIMBUPJxI+3YwtGIGMB05plwXKIn575HNy6hH4s
F5hQoTuIrY9FyXNFoMJzZfOu/Sq+vCwXwDqf25E6WiEE9PIYS33c2DgNUnaQ0p6ITNBbKH8DXyKH
AeqhmXqKKtnxepqVdKvhQcNsWCOeUhhDEE/bc/lIYNTpZXdyBXexCPgGLN30j9KOnwns8m9JkNpm
FEmEU8/mpm7ycmuNEumf+zVPWUwM5tLrnKLLo43/vml4jk2N39svyka74AsZrV3tpBco1i/L2UQu
vRem9vllUeoslhcAgY/xyHuLOvtMgtW8rwCuc97JdxFBsARNxBfIUPFKGTAT056L+3KaCJeCxSZd
e7NsO3bhnF8+4TAlz8sjAY/jbtkKsIvetSVv7OUalNI9R5kG7y1f4p2GkwpiazGocdvkKiO8lBis
Qq8fRWzqJ6uOn5MySOk2c6vUgpvxZaVT+AZBBamHYrJYUe1Zw9XlDjeNmtrNqPH8xjyZDBlmfkqB
gUuTxj+2y9UZNe48lCmnGXg1nGKeQ5KIx+PLShyNSyGGz35NrCx7BsCV9TQr1DLlYuoLiBGqZzWS
XM3fQmYdueu7cgtXBTcFrptz4SLMVFbJ9tOwInAP8+uXfcUgVtFrluI5sS0Erf5mCpNpZ/gLK23i
i1zusHHmX4YlZTorzbafuVRDwU0HmLtc0R/kNu1ZfVTPpTFcCorl6jZx/YjfFK9oyKrPKSjfVQG/
sCIDbPuy/qbL6ggFK9/liW7AiCmKfRWDd1z2OJRVcLVD7mqr4wFywNvaNu9aViw3C9B7/VIO4+1B
cg39+Frz0+k9aS0ozki09oyQ4kqMyeXlXsnb7IIH5RnC+IMv4okNg4jkvuerXnYbaFpsjC2PgF+3
yfXo2Mna1my4oj0+RrMlk8OSUeeRIlBt8fMEXNs6Og+L3JX5B/W55Wzjqgr3KUL3NdtJdWaVrK4i
MwQEMeSG11jggEcjJOlEn10g6oPaFAVEjxjzFnOOYRo8P7SYiZdzcAmdsaspp81o2+slnlUVYdd3
QkqNMXouquKRjJB2O3Ky+qK5yfyOSFDkzATAroMS0lNeBWTlqAgujq4/0t1HNZFNORWxQcYhNMO1
YRAQEqSkq84ck/oiWEqDsi8OtRU6t3qX4R6G774yB8b6yeJHVMsBLgmpk6u5Pht6aG4dcyRi3g0u
nbZEjjmyWdHyMoDrzc02QUl2NRNy6ZU5i/1yzCsckFwhiCgk7ujLLCRoe1fLqnNkEZs65nG0Goq0
3Vjkbqwa8ha8MQ1MahS0WCTXsfNOfGO9rL/FMwVb21vkp1Q5tkcf/QT9yEPrVo8pecMew3ZwG4Y9
XPcGqJtEGc0OMiLxkbHp8/JEGORLJir6On73nOOR0PVuW0PTTQvgVmkwfEvaOtxnlfKJFfFDNG72
F0ZlmziYvnTQbRgyMqgINSDCBbGRYESJPuFuIG4oIYUP4gQKMpD+gjMcfCkZ0eaPCbA0GtAZfWCu
KZ5vsaysaElTJkK8CnBXblTANQ3CawbhV1HB+mv2w3tdDMfaRvqhoqxkKde+oeLmGRgAEcNokpuk
056sllU3rnSsabN5FySx9GJms7VmJMS7sWSKuGvWdUT4KlBssW7GjKd2OfmQ5hJ7YmZZirroWR8L
l6gE6ifdZ6Up8nB6D7ysWq7wvBpSdiAzt/3nIdYAKeoq/ZBXnQluTDy+CDg1vXnMfVocWVLVX4LZ
JZtGy7vNbDvtLikogsGszdshoWISnOEIUNEkC9eyjptacjIE+1zA4gAErd1ofeHuurLmp5YTPRoV
lgODx1QRqsomo98Zo6q9NI8QLmTct8Vyi3Jg3pnDcCHxBihl3t+FYNw2vovxWcvJs5vZCpb32StB
fjOLU2PrHAvZrT2IeJdODy+JVTwKgJgwfcVdMxNN1gowc0PYjEddDzFpC0ASpRPcAlsDF6Z/5gBZ
bUVv1VeNkPX7Tks+xexpAQrPSk7ucahZ1OQQJ4Qz8G4UVRVs75bqellOZ7y+1wnOhXWvWmjZlnow
ouRSwlunwBhvZ8A5VIHAvWvqGk13T2SI2JwbFTIIOaAsHfE/yAGUL1EXrUz5rFFtn7HQhLei1stP
LwbznDIZdrJzSE3uMCLNtT3JhwBAR77TLF1GcaajPhRGXl8FWjQ8ZBXUp7bmdpNL8yoK0CQkSbia
FOua31DnJFU4njXNIPTOdpdFelHl9j14JatpkSJgTOeg05e7PAIgQyDLPg30HWas5oCl6DnXwueA
3b6u2YeIpDnjYRHrlx2dmA7C4Sh3quVeDbhNzr65hGpQE3C4xjVtEG+q8YbxabJn5lORZt5yasF4
MnqObSXrLqgfi4ytB3/GcBOUPFKMhrjYeZvv0Hv5x4nOJOFp6XiT2G1yX3V9tMoEYL1AkKjjhFR3
nOhBjXFPMj7KTxEpHSvEGeQMKVc/kdfGqi+5h8fQmCFgOuHXOhphdyFZoANC2IW7UNA7jbvJxX/0
lA4Nv6XOnsUsxCXz+/yUsuu93P2cNzetE0dHDqvPNCH4VKl9r8ZoZ7vyjrxajno+O1dcat+WRpVl
ztW+C9z+2gJkDGh52QMD7s8O+OOqoYZiUQjKu9qFvm62brliPoRjXoTnKWIZoxmZbDJHwky02qPW
zRErbgnqdZ43ZsXLgwSlXjUpsCJN3qR1TyahiSJZCwd9jUbN3XK3s8URXA0czbx72XvB2zfcSf7D
zw/+L4iNNx0rGzYEyk3UHELYb+aVfdw7fUDQ8U7LOXQmkNA9q20fK+Abm1hk85ZMlIRPwVVu5xQ0
oQQbOiTlB6v6qKryQahI5xnmoLuUGZ0jtA24qoekD26FHGcQ7Y62R0DVrcNBoBMGF21nGlwF1VIA
t8H7l0bmyxnJ0eXXqM1C8PFtv7Ja+w5v3f9j7ryW40a6Lf0q8wI4AWTC3pYvepEUReoGIdOCN5lI
2KefD/xPTEhkhxhnLibmoqNbwRarCpVm77WXqXejZRzEb/N04bdTdTVZDgXdsBalAT2QkZwhOihg
pBiP2stiJPPahPVIAu778GdOeBBqGhWhYFurwDQjNIWed+clYXwuHGf6n0PkTATgo0B29UEF5BtE
Ki+ztErYKce4o+UIgzG+6HoQCV9QdMEqespeD15w/C1MtLVLomj8+9f6L6BYGDHMwJkFmQh47p+g
EWKIVZFW9Mc8wGizE0t66jR1Uuord1OQ6UTE2WBvMZ+VH8BVbwyfX/Eq2ndG3zgzuTi7vHlpdjYU
+yLqj6FCnOhxqBOpYzn32Uiim7u07dceQsqetEh4XQSsN0M1PEQExWBV4Dz//TGsCNy7xY34Y9XK
YhFlv8GBe9HbbdqMxdFdD4EVMHBJA8G/YDJ77bmfiKr/aD6xfrw3Lwk+iliD8YTt/Id7+xv0LGtU
IRpQ6oiLSrgv1RzuVcJ/OWXzOHV6IK3VGnc1maewb4fq9PcP/C9gIXMC3gBD0tdR1p/fe8VDlTjG
mKMKKcYICOq2+Dl0H6zwf3msoMzC8z0C+96PqbhNBURszxzJL3K3/QKLQufTV2vubrqofJkNIuG/
fy7n3z4YFlwsXIRRoPvizw+map1QllTmmGR5dwk9iVQeopnOHAlAOWP4mHJ94joMeib85Hs1lfNx
mJwWa0zVb8sh+7mUT39/T38yLf6z0Jkj+p698jzeLa521eRHdsseK/KvTevN//yn+C1yarxyUh8Y
bq1TxjcrC6ezIHBB/cNoHUT++Qh6EVh+XBfdMcyCG41SaFdbXr1vYjfb2lTNG2fwv7ll/rm1q3Np
B5/1mrk4ZCOO5sVPE47YUnvZ8gGJYJ3KvntbsGI9ljpbG1OoP9+WDCfiFvBQOVbRAE5TUjz7iqOm
R+u96YU49426SgHJviDlbA9dw1dkpZjjZIQjOXoCmKKOgxcjBBqqeqbIkDcjjpAbk+c//O6EcJfk
bZcSxARn2clP0KN/9QkODlXS5wigkn0agNQECG0I5GG2tE4dCyyBNsImTNclQQPS6dpb2/hFkCrI
vD621jwfoKx1bPd6seXks57/vkLeSrcA1ddJMrZa0ie0xX87z42cYTI0hu0xiWkXZk8l28AkMAfH
ClwswAN0Tkmrm0zlbsww2K8fE2h1SwRpQ0EYANXG3HRLvmqn7R43PZsp0bDWzVgkkxdUJWhMcZba
6BAkNKk+PM9eSSB/HmgBfCTE5RI9ou3Zb24zsAzOeU2xSVGKJXgUWtjgSCKLA/3cC0gYqV9d4RSn
904eKJwqsoMekS/8/VG+X/xoSCKWl2BybyOF+3OVweyU7RAk6tjO+kKMPBjBSsjqwf/ghcT7k4bR
IdwtKKVwY3DW/POVmILESuAJfIxrUMGcusfByv+gAlP/KpcOhCMAlcpWdBmH7IYwbsQRoie0Gmof
Xrdt+l3Qwmcj86agot8raAF5vsW+WXvGmuYdfPsKTjjAKZbpJwvTpA9mef/2pTHAYwDqBTY8preT
Y/ykQ+EsaXtMu4rkwtLN8Gid2m3VUXXCzFd7OfY/135pLoCfepX+mqvwgxPr/QEZQItgnihR97y/
JkrRd0HrOO3Rdpt/ZDSrLY+BFyu12I7zR68m3k+wgpUJHDH3lZA5wzeFh2wcg6OGaJlfjsmhaJs1
Q9Q/L51IthH2ygC4FNQQtLkiMDO6rZbmuZma4tqvKO5dO/nehs58jV33chpovDeFW9CZV3T2hDwP
17kcb/++qN/fo7xjNJ0UxD4n+lsigfamoOomthYm2PCYutbsLLzbEHrQPwFlI+C0yw+Glv9S8PNq
rAhIxHCoICX/ub5LSoexUUT2kVLEEm6kSyM+IU9p3AlhhwFPJVeajrYn9yf1L3Hz/PSKGYK3W3si
ve1dVgMhxAyKdqYYCGD3JBF4TeIcFNVsK2kxU5+2W3rmWSzUW6+YSO3QOAnGzwcTrKdZ5oHXruMX
V/QZRhAJq7OR6cld4MElBUIBmGmfS0VqqWMx1GvJit0sDB0OabAW87hmH711QonG7NOrePV1ttGU
KE6Yuf1YO2E/M7zcZDOhiL9Ka5q2bduNBxh+9f/NsYEmEgIPM2F0xm9KTfIWs1S7HBukl6R3EGAB
BWhfDsJzzQZgueEOpMnNIvEd2Bw02+OLrkeiL8ZelPva1+NFMIMRvZ71lRgZjc4Z+h23a72dMeLl
dbTptk4E56fCc5Bx902a8yX8fVG+L2BDzleKVxgneL+sBjO/z9N14jKCxYjriEXavMEyv95Vwbol
3HS4THRUbSPMOV5cXIV2MhiKD+5M9/35i+gdiSicF+hQzlsKRRRORTROdXO0S6ZojdDTnVOA94ek
PDHyjNwnDF6qbSbT4tyjmUGKwQ05WeDYGEzQNxa12vV2UBF4xDLl7mKiFDAA8jFEs53+ApfgZyzs
s+3r/AFow7HA+fCm3qdxqp+9dp0GeIDsOaDk0a5WjG9a4dylzT5pNbpPduntWju60gN5j56/eId5
5bxUSfSLfxh64ATzj9vl5bEOIdjg6yA+qIf/pbIIBdU3cbcIwm3vrTkPGRtFnY9pQ1z76m3CgICQ
eUbCDhOhlhDl/WLKEUuJ5TzZGCriTAvukz0xPMDwex3DLHYPcUpHcstt/alczzflP2IlmTEXb19q
JvqEoDOLCOxqPv59ib0/90LhU1Gw723a1LctYm8sPPEAXo5W6B6dmPnielQUM3DkKxpVxtUHp967
4jlgTVGf0pS5VDJ2sL6l39oytDjxrAs6QaDtdjMjq4LSynX8OovpXr/enqHQwPkCkwPSSL+OAQeD
FEzC1d1rpYmog8yy2nx+dHi8vShf35xHXct+W1lD689/e3P+HOa5hfseUTtKAg3yHgjwYArA91Su
T+Xvj/9fXm7d4jCVJIFM4t21g5wA3VRTHEdvXbVBdTVbFFRux9qhd/yoI351kvi9ggw44zhRYHRC
ZCMIat3xv328VA9MG3VGimuaelfkhLqchTrYTW50YNSEHd5YUJFkNQ6LyIQ9onwJznEcq75xGzf4
MrpVdJcPPcq7/hbDs2mvfONv3HFQe1JL8adhpHVZhm19jMbZxwCozq5qiaFRPFRMNxc8prqMX54N
2l9n158y4PBz3qO9b/JOkcsuql0ehu2JHsZNt4RDjDs38fKtLVMS+eLxACKp9jpR7rFCCHQBl8Ni
olLcdjOpibRt8ogWkGeIhw3iLSvH/bVIbmv65MOCGpK0vDDc9Sk/SIX13VnZds6oyOigUDuQdJ7v
gpROLV4VjAUVHYigBlbPmFPv6qIibArSPzywIiJjtFI1AapudtHnehhhWhC+g4xF4jqnQvTEvAer
jfHCsx5a494maSZ2GMp1l2T4LcA/i/MVnYA84krjfbDR5NtCHcEHRRhSXxpiaHirn/DvXzZhTjqy
Sm55GBQhMbPsMVnCGqk7m8k2tRRRC/Ztq1R9jNvRxY5xRn3arl8gnlYEohif+UVPXR+QXrvLSgIf
RS4PuFBgmRWNPpASSTmzhT4t5IDcubWuDwwR3O2KShxCuViPczO6V9H66/PG3JpUPHoBbJNx8mGS
eL3c97pC4JR34QeA09vLC9ofG4odTB3DQWO/WeqcnI4nVREeUr0cdTpvgIg+2L1vD8/XlwhgGHqR
jUTKfvOA6cI8gIAkhDCQEzo7AL8OJNrsinaBDGKk4tlYH3VFb4sCXpSz06W4oZ/g2HhzQiVW6Od+
qgPy0wOyhhNyNdvFVozdCgfCACM9i5yDc6Nt8hhN0X0Aazlva3tMatYCWVDAg6eCuPy5qmZVETO6
pnj3fmsxl887vm257PJ8fUGyjM9tZMIjp90jsENxLF1/+Pz3U/OVAffHMba+ByBy7A+w64tWgvjv
K5ttg8m5tvwDEVjWbphVd6pcqWnE7Y7g6SGLthkJqN+wxoxveJDuTTPBOq2NCB8wnVt26RCgCBrd
/NCjsXy2O8GjVB3VXdoeKtR49+M8dyiuAz6OSYMrpVz/KmhH9SQSWAmbicy44xiZO9wlW7R9VvlB
8eWtze0fn5ECFm8P7P4QGeLv/qb4mzPju8Rr+4eeXXU1Sj0d7DZxttHQDBevHyJCnHZnj0lw1aX8
gMFjTBa4vexKB+7IQgm2k2ARW5nGySlK0nAXNDmGk/C5UOGKXy1cjBOBd1DIQvTuWSI/FbjR7Vud
DRckhSGFVb6GAbDgPzMFA1NttK1ensPm8DHoIXsChk+zzthrQgVasez0KmxHd34otOpuJv7mofUH
KBZpcj9bpE358VjezUv7tOhccgj1F97Y82ZJM9kkKh2uRRaYZ6upf/59yawxiu8eJyA8nMoAKFi+
7bXaKIqzhb7pkBQa7KS39DbIh6ssGR8qBOIoOF0HybDjbjJ/jrcCxGube214KpB1klMKelUwX0a4
zDbLa/zokLnb39ScB4yXo+WS3+JfDQOBPxPOPieApH7DQ/ePhT38WPI2uqTLs7e2gbLnmY7gFIFz
b6WF3lp+80R0X38YJuuRsCA0zQvB5X9/AmuQ5Zsn4NBzs2OlF7KBnTcLKses0wdO8Q7OwOUdolH4
KqaRIRhvPOYGxaemb0JzNCOO5tKq0LgvKsUd2YR4YmSkLaYxRnplU30m6xp6R8a2K1BzY8ft5dZB
jC0L00+snYYct7M1a2Q2Tb51sjDf9lhp7mfdH6c5deASuA/jIJ9dyyk3cxQ8xGn2k14HH2vmU5eV
sYJTAmnjGo+f8M5QT5KXFOJSNZS043XaEq47maMPNnB0GfkdGEyy0AdeEgd5+QGG829rh8mFC+jN
ufOuKJynLGVGydpB+vYLtUF4t+4V3WPOPTrJ8AGMG7y7uTABIy2CKgK4BhuPNwVy1YNV2b3hhIVO
RXRdFz1DLEsv26V2tvZSTQdpx/lN6pv0UoSaA09TfjkjD30aFBV8OMZbpolfhii+GhP/GqfE7uDA
8pn8ixm7X1wv2ddDDuWV/xcHS3/ZWRHrUhMavBMju5my/VfTqeWTaCDzOQovJadpulMv2QMtTeFV
3tn+vkhkckihxH8eh1LfM/AnyEekw6c2y7BUEvA0CtcB4vIXtU8sWhvIXNGZiewnPAIJlC5mTo4l
6jEaqIMrjbrierQ5lru2KA7d+naYmJZrIT589gjN23UD14yVDmG19USQHxqFRbUyVn4j7MZ2wdbs
rzIOSigyDuPslFDrQ6QrYOchsQ6KB7khc8/fp2BBVKBsiOWDjfYvq4VFAhaz8tHXW/LPy6nz/bKo
ElixoYaUk3s8P41Ny3Zp3GYXeGyIv2/s96/HVBFGOiUWjbr3tkv3ixpm8NJ4h7KqKEBadgO0OYIR
8iw8pYunPtgNzvvCkrbtVdZKw8swL1rf0W9dRAi9TYkkcQ/wmOQ+w3AEgCX0r7KKQRQphenlFLnZ
Pun8Q9v0+qQ7jgsfn459g1/+NhhrRgFjEG8nOmfMQ7io7IGv2m5cDSmBBOZW8VEyv9H3Vcdx7dXr
5e7FmpsnK++8uvk2r8dIUnu4bwoWne+U3+Avqj3+chzvTWbtErDJRwSxJO344TUOosWBKcMvhUfB
bhm9X0VQfhMp792yzXSYw3i5BNcSe6efAFYaTQwfa92xOPlfr9a2oNTSYZI+wyiT+6iCcO9A8oUj
wm6KIm7JlCVIpnxpX47GNcfGX2/TqoAM3lKXEF3AVVv1+I2te3UWnB+66ufv9cL5Vgys80WxxAut
uxOseO6egmO3K1r1lGXk9vDc5L7UvKGWAMYdiMuCPXXKFGBGf/6fn5asd1Sr1gEfArp50qf7XS9w
Gp+gFhCGyG/IU9Gd3awI2CwcFxlZr+fJTAsPcerOqbHDa0cxwO9xPD9HJglPXcAOJSGU7ymhgqjj
CN17A/kbzrc56qTTN5kDi6g2ccO9wMe0PCcnYHdZdu3gdPt+bvwjGqXoLKqMZ1d64bFc/M/+HPyo
4Otui9IVZ3bncIWmRu45wdaQ+JkAOFVSsmSU0a/bPfJ5fDBNeQWLW6CNqHRSHP8Ju5eGpp2v43V3
/T/Tfa4v9P+bWzb+YA5Mk9+OmfeaTt3X336k38r/dae//fynS39XcvLX//sX/LeUM/iv1RARuF/i
AYIRNvX4f0s5Hdw1OSXIrnnrRhb9F/cpRn+A7mg/Ge/8HyWn8P+LSW64qoshwjA8F/8TNzIaizeF
DxQI+OUoRhGC4br2VlutkqqdMy6lM/G1SX7ql664DTqvNztJniJZiVNf5qeKuIV+E7Q6xTc5rHtF
4GgqiOtz8z1Z2/q8pLXnXzs2CpnNgF1iv4FTkr0sWYvhUhKioNlbFTFeS+MjdPG0sPfgeTK5aTyv
WnMO5/bFLwn+3TVOVhPxUTvJaj1ddeEefWfw1I0cqY4J8NAJ22Fvz6OA5ha639tlLop9TAvCvJaE
0nJXC2yZt8sYjZ8iB5/J09SAUWzFZM/ipKZcIyVcBpjHA0KLOykIRt24bYv0Y/ac5LomoOgTdR6Z
H4UaApc4zrH1tspSmJDJsLJ/pZndLNAlQna661rufZ3GLno0XJyfFfotOCVhPP+QvmXu2ryMV8Zl
3W9Doo/7jdTu8C3Nu+lMXlgFrtX62Qu8j+6kiW+sYMLaNnMCX5N/Ifyz4xhYzTU16wbyqvA3ErHC
o/HF/Mz4aI17XERsmCA32QmDO9oFuegC1GnOK2/fdoG8FpUzXo/TYl3KqoSSuLjZciOzqnceBHcU
vjzurJID7hoy+jKYWp1nUrOcfRnhJbRd6kSo4zw5VlNuysRg8K+6ziPScX0uxV4tkkTwHB1EiBX5
TKtiuNo3MfLMZ2afaCnnYX1Y6bk3KWkcNfnP/Br3Er9XdQqLsJpvHURExF4G6eDcJkHI5NkKMK/K
R1JanXj1Ne2JqTWZ/Suf1UyGJjSqkXMO0zvQYTAksdHKEWh1OpI95ni54WpONyR7eEgfXHMg33GG
PQj+jFeBP8LBjfrgAWD1PLaWg7JxddW0SmI83Dx+oLRKbmQ5fBFEGyBcYArK+oDQ5/10qupcD5oo
i6Q+WiTqrLMdsV05zHsJgHedCFlf+Cyb+0q21tmfhoLUB8IuSuy6AL+rVQrdXvQ+ZIPEwu48RCa5
xOE1xi/4b7h4RtRDpa7KFCtAYbvpT3foymPo1tWXzHj1zSAL79QPq4gqarADiNJ+45GXcVuEbbDH
uKu5D7Tb3DBHZT5feMt+YcK2Esrs+HNSTg+FwUJtNkVyJumWvIgg0Betn0IxiJp4F0zS2hCZjmo7
lw+KWBcKpgQxbiLigx+XeCjVY7GBT+VshhgowTH9NS7di4LHDtKSz17/WKbt3dBqmC32ghs/+hKq
59TcxmnZUaXMhloFRpdXEQLlCa4xTR7GcE/TX0LitB7quv2n77O7An4FwUDIU0pjcH/Pu+DWGHZZ
EloQ9fgJs+2ifgbNbTmM5KM7sP5nfBG8Kv5ZOnh39XV0x01r/6NJot7opr1s/aAH1PQxA4+wWtPF
9CuozWXPAHWrRotvvpUVyUzFYkEMJsy97AmriT2U3BK3QZnRfCxz013lqRUgCqvKLY3+tB2DAC7u
7C3PBMg6hzyPF/oyVx1xwh2vw7SAER5a4wP84gffxPlF6VUBmoxyoDvUwT50J3ePN279iTjWbu8E
ZbJhFLzcwFvqXRzLJu9EoJJEymcN/c7PMWDaui7WpnOprAEvcTE/ZTk+8bOMx5soIiXHL4JiT0qL
R7Ko/tUqKXeYkKuLyY/lIXXGaE9Tn22xi6vuPMzOUNx14mKCGfq9aev6YNO78uEx+7tzjU0+5YC7
EiuBk9BA5dl7swq/jGSGkDA/QEX+7Va9+w+e84dHzOsQ73ecBx4HM0racmbAa9vwBqdsGq3SPLXT
cyi6wexiZ6z8ncma+bZDY/J5bIzLGdegLBilwoq/xjTjsVbWDHpSOj/7BE+SK1BWx9kXxoPDILD4
QRzFtw953+GaGu0Rn6o0iGmgGfBWWLSFTnr2+iocbyf0+7hRFcv41PmyuJ9RIckSeNcfvMs2W8Lr
ZemLuzQktsFVbYyJcS4lrnbCdN/hRa+FWep/WdNZYMgWM5S+AL3yBuuOEN1HgEwhiovuPI7BfOw5
3y+XxJoOZYr8ZJHDdGLyHl2Q8DtuQkFtJ0sUZMAL5gmrlXbnY1uGBB4gnVIWFx9DHcIQ2sshdXNv
mbABiYfKuPVHDL9OBFZbDXQih3b0CIkV35YJ6d1J24QyXQUugUekwiUbJm7WPzC85ouuE+65TBq1
bDWJyvdF4ROH1Bjvtpo7edfJNHlA8b1fJMHPWYb9k1Mvq0Q2d5rbKiL9OIRjfgtF1vtSW63cDTJU
OMcphuOm7jaJzcC0JVLjIJPwIfXCetuhEM3nyyEy3xrjHPsUhYIAk79p8+/DQBdtEUHXOPQ3HkAn
iXV5d5/aBbqxhgdHvbGtexteFcg68Wl2n32jXIfDjd/kpg+GC2PV92Lss5s0rlLI39K/G7L0FADO
nrlWCjAov3zSQdvEG7z41HkJenqPue2GfZsgikFKUD/nM+IkW7TfpzH1tlq76JUWJLgOa/NWBcp5
yBLvRwBV4b5J2XmwWPqbznhdcrDCtLO2IQ0bkdW942LuOiRR/bOc3fYZPBiMLCzIVTkic/du2qUd
BIey501fomVy+l1EJNW3GZ7Oi4npsh7ITRM17y9Q89ZnrPHiyCS9CVsjb7KUWIAxj4NV4sM0IcFf
8jutHsEklT+M29ox3pEsjYyhToBgs8r9Bykt80PCvtgUIqoeRD31JJ4zoD16mJ9uS9V7WB2n+rpv
+mhgVlsnX70qTO5t17jXZc55Q1IV93w/JjvfxQvV963wUYF0EIws/W9UtUXAdTIlzmm0VXmRkVCE
fA5VjU38tFXcj7Uaxy1jLtI2bF1kNg3Qyo1zKTi6PYddS44u+Vq7hBML5qReerVlbprcVCaJeJwi
59on8GvPBFndz01efVnx5H+IhelPlF4GB0rZMNNpFfFO6GUqNkJfn9qZRKGLKURstx+Z2T/5HpqN
Yi7kTeNWw32SR9Fz39E5Z5ULXqLj5H6xMITeSFvXD7yN4pHAP75dlXE1LW5pX/jhOFymyvUQiBOC
fZUW5VBvdaS8Naum2wstXmaUUhcAL6gn7LnIX0qTBc9zPP4a2p7MC8cZhpNj1wcxZ1xdo5d7x6KY
p69ws3SKKyy0KIymiL1H2zo8OG3pPsdTgP+oIJWu3SSdIIkhQ8B2AhmSXxfSTBCC5dYLzr75febE
0be2U9Oj467QFaB7AYQvcLunCsdHMLcHEgBt3Mw3TlP0h0wu/o/ed/NTa/UG/Aq8fNp7fdFzrzaA
xlt3MvNXO9QWtuLYAmzqOJfRRtRxcWm5ubp2+2Dc2Zi6/rQrje7ANl34hY5dk40SCUteEg2Z0GkI
O3kW/TjjbdlO2RqSqZmMGi6LF/Cj6sEbw+I8xkjP3ATOIjocFxDMjWuMKSIqsc04RN0Fhx5GLza5
OuWuiVU1EzM4iq8mIHjkNLlj+n3OG5pmYteH65aQ5Y0SMSKasgi65TKkxrbxek/I8uR4OcA6CX4m
KVz/OPP7izQXujgyl1qekI2Jdu8Y/DQ9YjY+152X3hm/Dr83k2MeUPQBMq5LkuapmEoWQcImrPC5
Y8sr1siWyMA11K7F2gqtMv3PVI3JxpikKjfA1skd0oHl0diZdUuyIId9YKdQ5qaltH6Z3q2Rk1Ui
Io6ns72bJcoA8RhqDtcKodvLkkpJIhuac4wOhPoHV1ESzZVPuljDoPm5nkCuDwUcVfxWXPeXyIZh
h0KgVPvKZAjtVRZM+xhDzWGj80I9ObAdx61VT9UeIgmBY1yi4z4qwjmlOugmZn3pYi47nUe3gJXR
Pc+nvhmNQ9Xpd/qlUqOzJ/C9xsGQ4qXF5la1L5VpjNpUoenJbbIyb+8k43TWWN4fZcUJsMs94JMt
aaesx7ydmltE39ltn4nkpCxJ3tHoJvKka/zstmVQDgx288KIbZq54EK1NtETojFsrL0m+OxgqfWd
PkY2m3zKXHej6tmfWQqZvtHzNAO0GTRYsx6fhW0/DJZRj9WgMFnu4f7c4uxgN3dDMaWnYRHeN6S/
AT+aS3OTJWI6K48oPKjf3XOvZPdrSuyw2hGVGT40Nqqtxc2Tp3ksuYmKIUjPOFWmsGiDML1MEKcV
Bwph6zpp4DUf+taqzykIEyMDmX7WeOtfzLU0+qLAhyLHkg0jQ0IVw/EGA2l9G4TIGkrMxPEsqKYN
SoDuHPhD+IKtzvSgKbemnYP8+Eyr5CcHZ5LlGQ5+pQ9GzdVu6VmdaB/nJrhVDvOXHTICe7uEw3y0
1Si/DXOtzzgSNDe2U0ybMQpmZEbaHXFMdlsqsBRwMtlEypruLI3/dlZ6449AJuZn0paE0PR5WGmE
h8NasXJOfKOdJSWKFj7Ywukng7O2BACENwaURfn8lIx56Wx4xGTfRFGb00uvIda7aigofxUbe94m
wyJ3xHCqc7705tH1ytzBE4KQOdhOEoftBDX/BgqIug4tdzoyxFv14/303DYyLm4rq/JZw3o9N9vM
niWBtJxHyjCyusOckipgoBPOjpNyZ+qLoFnwvaAqgggjmj3s7ZHFXEbLplUm+bHoRV52IVmxe2Qm
CyLDKimSXcXk8RLelbI3csQ/+GIsBys5Y3qjCUZ1m/lrG1G22X1efZ5UpP7xijE821ZUf/G8In2K
6qGfN4Owx+NoW865cQBUfX/qz3OdhtsF1eWvwhlnOmJok4hfq5rQSdWFw2524g6qoWcduZLUjhkD
fZxNM1aJgDY/AUyBIBaQKwpXftX1td7jEjkw/wRNZBL5FwG8hsNcMkjCEmR5GKbZvilBZ3bCKshL
i7sJK/Upb+47P4p/EM8FX97T6qG0p5k7u+sIF2qMRb9oZHa/AEoxKE/LL25kDTckq06PTRvU8MEW
ZFA8a/s2C2DYRXUbX3el7V0MbPjH2VD6a6ucT0kw4TCVTfWvJgzqW09o75FlTyWcuxcOqPZ5cmLz
nJjBvaxIproMFgcGqSf7M+x8fBiMrI+iUJsu8B6oyfUnaNvkdYHhX6W9bE6Fn/kvNt/c91iS3EgP
5B2GzNVk9jrFVdvX2V0XzFtgKncDj7lKNqMAZ+hikfwK3fRzDOnv5HrtvtKlhGUXjduGPnM/S09f
4UXwEg34k6iiG48R+Vd7Rkao9n34RsDmXyIOLODldjwTC/rDCZgMgFZgtqbzdgPnnXpA9BciJVcD
69XyMg5zvLXrNNsmzlR+hQ1ck0hMamkkaRG4HboTBBZzYoaLIa/BC5rP0x1IvZI7eIhRw+X59zbu
HSuCwG5I6ozjXcfFMM9/M1y1OH7rkYPkLIZMUHauVRrJq8lNO9buuPVYQvMWJoKzaXGbPhRzH5wx
los/VLy9G3TDM/ehd63YKv+S4RttCpn2CEpxuD7P2j/mQ2e+A42PeAMNbtTdhiGZaHeFjVx+jxHK
eD/MDf0fjhOG8ezA/k7d4WmcsHz8MsxCJ4cqj8DPZOpV6pvvwQjeuZ3lfVGocO8YqvPkfVk+hwo3
YPkKyJGs63wP6qmut4Ku8QvwBz7UxsgHMYzWD53GFN59mHwObNmvWRBJ9mwyuYrhBvea+FVAAQwX
voQ6YaFk6fQJo/kcFxekP/t5sYtLrAf0Ts6NpJCQye2I7HZroCvdB0E1X8Itltd9mXAd1l55kFP5
LGRjfzIiuSAVLtyKFbQMVviyfUUyUYZwQlrwvdM9kKt3377CnskrBArZy/7VvgKjwlXBT8RI4d3k
Ffp+SRbnC0RCpTYKIxrgr7Vgn4zX4y+WhBkuxuX0GZ8e1mn5Wt07r5V+9Fr1YzhPB5ANxfzDqzVn
JxOw2/y1T3BMI08x0gACvVUkoJKt7QRokv8NCgMZskUUnq1YfGZA0p/bSSew4kFCi2X2NlYeNStf
gZ4FLgLtS7h2MtXa0yCy549rn4PdqEn3BNtVDzlpgTjzjXREa28Url1SipnsTreEtAqlwShXRHTL
aWJ9L1+brGntt7Ay9r9Haw8m1m5stoC3FS4V8xYsh3atjVKxPPheV7x4omy/4Wtt9+RpGznh5Kp4
SF5Tejdmob88jljiwxaMVPus49avf1qpT6Rx6vXJLyORLd39fb+Kd7IM4BYcC5EHCuYTZPC84W6R
JpcPeFb054xa67q1pgTzmkztOi2Lc13Z4VmFuiK7vW/i/aQJGiqb+CqdGjSrlj+igDWJAk1brGQH
AlC3hIIX4z1dT0OGJDjpMyPrdiDgVqoHd8TmoRU4uidzNqLKnW4hGt4SKInsqRqd4cpBUGcYKEzx
D3if8oCxpH/2U1V8wmltAtL3yaHwnYdWplAZ4zss6hBnxwmEDBkfHDt5YI/LG1TC1zRmyLMt1x44
8Wx8jsHreq5sFfqnNFMenhs+BSp3h30a2qC88/3cvkOzAZevcb3kEepZfUyw3dljZG0lGyz/R7A3
PLFuOFzUXag7DFmoZAxJDC3OMpyr0bD3prK4WJRdqW3v4OhAA97WP4N+DRcrwp5C0jN3IhpIMUjG
eNfIfFi5ReUuQp1KtH0ZxC8pU4WXycMTdks0tj7EpkiPGTL9glvXDZhZ5IZ4kDk51aHHlnN9WIiz
p/E2mKt8+FnFEakoJfEcRzrhOttNXTSvRE9IhpugH6KTb+v4E6GR6fcK3x94l0m2j+Paup9ARkAK
MuzjM2+4KHOYEcLOnBugxYVVSdFZ5tF0CUnW+hrhBbfn1xnmw2F9X2R5KMB5W/XZnmN2ADLTzUBG
B87X7ZAe/L7nSlu84TCjNHsZhJM9/m/2zqw3duRM0/+l71ngGiQvei5yX5VSKrXeENKRxDW4B7df
Pw+PDbtsuLvHdzPAAIbhKh+VsjKTEd/3rlrUmM9VgvgR/60eLYuu4mga+uRhatq588C2jg6n1NJ2
3XZN1Qa15CEBJm5kJE+53mCISSMqmxfYS+1DbOl2xhIjghMWKX0r3EjnufYT61TK4tH3e+JtMgAK
8fsmQtxlPwitDs/9NGQSeEdXwSLBMuvd52lAWGA5k0jGbz7JaAc1LYPfPJM+U041qO4Epz0zUUGT
wUr58UiLq8jNT+M3a+XDX5m/mawGqcsGAtp9zn4zXTkp9bTVxP0c4cDpna843cq3EHQv3lnIlkKq
1EtDX8/32Jet+qFm+6ZVk0EAti2ZCe1FWQ/8N5uBJc6k1tX7OiP5ru8dY4+qqmWurmyWa0UTt1qQ
TZUmu8QTDfw3AIazqmOjOFrKYp6ofmO6wwzvknH/SsEn0t42vBEU9kpMOQ+ImcAMufGhCiYU/J3v
bkqjUPOrJuYFnvQ4RFBEjVY4uzIdm4///qBy/pm7JAKQtjzTtknERbg2c5t/klroIPMpkKi790PC
I/xLldansnv4/Uv+LY77HP+q6Rz4aX/3Of+Nsf5dA/X3v7oVkv/88x/5v5TjRvqMMuW/zi0+x1NR
f/xDx9bMbP/lx/4WUmzjcMbti/bL5cP5e0LxrK7m0cObaCIk+VtCsWn/QfsVdj9dRyRjuHMO+19L
I03jD1SrArEwUh1+lkjzf6dli9/xD3o+hzRVlKG4N6C0HV74P341BqOZSJeS3S7v7IKhIC+3vVPJ
bZ0YdxaSm30cdDwvBotxqL7NQARzb/3/pIGm8u5fvA44fOy1GKJtoLN/fB2WH2qFUQS08VBwv2td
Y2NbKfHIS6GQXx1hQCtxHxDVpWLQvxGAeGGGwTlhBllUtXVTFZF65m7iXojvLD0/Wgn2yNhrHdYn
PFnCPZZGycaBjtR22odRjThV6Nv4Xfeqq6eevPuRWN0hyNeJbO6HdLj0KZEWFmgUIuGgARyV4UVL
SkmSc3pTsVWvGyv8sN20WBF1I1YO52JJHlwN+M8vWikPMTzH1GvTlDeKaTdpMJJjad0T6j9Hm6bR
gje2gQl5jQRkYVhM+gYCcVEM4tTl0tg4UbgczXOhFRtRWSQ6vmjpBL6aPJISfCA1cmda7iGHL8ae
ACVYPQ6D80ZOrbsYh/QODbZa2GHnLAe78HaWE7/gNburvekgBue7iOKdp7/TuvMEcg2n5Z5rp76K
wNhSvbAG9Vj1plktTJeXQbjKclSUdBNEWGTdV1xZAhmEZeBnED+mPwX7xjHBZiZLciIifRjc6ciM
cNY8LFckrmSL3jCZ78Ujtd77Wr/SOb3EcyCwSfeP1RDeo00DNwStull+SmTRuCbApxX9oUqsJ0kI
xkLXbDCxxyoffjrp7YdGf5tIxBixby2ivnwlJX4zOvHRrCwHRT0QQlCsW9d/4uu1SB1yStkR0MVT
ZNl261Hv7kIteA3K6dgJ64pSG1W2q54MC2WU8VVIedfo3VF1A7C6ClfFAE8LG4Dq2MyXacDcMbTs
ju3StBEy66wJLl/NKhJPUGT6ggDnrwL8mzhtuSqahCIjAlVk0v7S5x7yQKfIAlgD8HMNrM2GF70k
0rjZ8sWt6+mS4HB66SZ5bFL7IRi6buuNM25EddfeNsUKu96RgMyVqPIdfY2vQgXfNH2fx+lSOk+N
LfFaVlpMPKr+wE3K0NlP+zJMXmwj7yHHi1WXRPdT4J66oVqRcbLpHOtijw+1V55xnC6bOuKetcfi
xN63U8oIV0oA1g5Btg6TlrsWrXMLTIKH1El3XnTfhcYpLxgG/H2TUyBE/PSC4+A+nrNeSfh+KYlP
nijZCaZ4nfQ5LKFm1OfKN6jKDqmbj4W1HqkaazySXDNvU6X3UP7LvjQeaFtbGYW9yfTpGYBw11E7
UrdRv8AA+kIVy9LWsi1fDXelE2uztwplw+JRLB504q5QxiEyXQbf6SnuTGdVKfcN5JdqWMBTTH8E
tjJkyOHims2WsKJlPnnukVK5NZryX6Kz740ALM0OzYuvq35RQe/FfrjH3/iep9U+Vs5XkRr7BMEr
LiJC8MxCbtIs3zlzkTXcM0JTF1MfMWtXgPFmOQX6JSTvZp0b9zXtoXqj885DyoW6tvfK+CzjvF9B
QSOvrbuNPUJgasK5d5g+ZZagTsjLGzKjbYeuZhk7ET0aTflZOP7KHsWzBLsV/I2VmaSbDIn1ahwK
lIX1kzvVlyBv39QoS7hyFaEF9J6nfnx0e+iowSfjrz0WYbDoZH0DT7tMVvXWZs672ZqgUsFJH9Vb
NaYv6ejKbVvy70E2xagV67qD5nRj8zra2tX3eHskgkoApwPAe7xUpCYuKlLfENDWyc71+n0PVW6a
1naqyx8rldtcJR9eiG8RPgOkNTLPFaTzIq/KYWlU3jfq/OfBQSgIPLOGVd1U1pzZZJMqi5AlXTRG
vvMm/8NUBE5Vjc/3r9Vp10G2YCbak8nGPwfKrnnC7qg9fan8HAsvNhib5vmlLpuPJHV5MFCgRG3/
hv75nqzAm9Z7J71r7yZT7xYN68O2IVbRLML9FNrfSC6hq2siKEHSThNvqxYEZ+bCDSKjGKEIWP44
K4g1zfaWUY19vR6CtQUQwaO3b9FfrCFl7usSwdUYhSnpC9rZ1p2cQLH4Cz3GtpmyK2myhJRq4UOT
qS1dH1Sc00QHl1gL96x8a19M9qFvUA7VBxG1y5TwM9p9YWaI8RLOm7LSp0A21OjVW+CjBSraZVVw
COlFsGmjYFvWYlUW71GT30nffelqYz9k/qrN7GPftLu+K4FK85WBhh7mUez1eED+lbSL1H2sgn5F
WuNujO+qon0ZQev7PtuReEm+r/GqsvZi9h1qf5+mYX8btwHxkE2wm7RoFp3XNxG0H3XKDhHZQ3oQ
9YtHw6+Tga4SgJz75q7PFL1rpwHsGoVQTFRd/aBN1nkcOLnKQSwoVCJg2HHvnSH6Lsdj2LnrwtUv
0fBDG+MdFjf0JmjddesHlSmUHPV9KjOOzG/En8U/sZl/RaF9sUR7Z4l6F6fhDQndWldRuHBq/9VL
CHJUPy1q02rk6GTHbJz6zqkGHsLilUfkuRqdg5u9dx7pdl3+HuIRbNLkpHR1cVG7WgSmbM0gOuN/
eSFuFhVLAaQ03Cnib8dSXipHvstwbmTW7E/fre46Ze6KYTyzZcpVm1jLxDd20mrwDagPNalXYkDX
GaoNLHog6fmntMZjpBEAGCxyWgQ9p6DpkPjdhuQgmVH8l0D+xI9Ub1ocChHeSI5lhaGplbi91Lod
5La3zlPi7Xszu+h+/N15HZqpMIYj4P4sQNEHRC5UxUSpfiYdE+bRr06hnT7UuSAaU1yVBANCoRbL
9i0659Q5N08J8QBWpW3KJkGn0OwQDRcLq8PHHLugTpO5ziP+tZJ73FW5crfZ0O8gJb8I5zhGMSRk
xRtYmydbmiyhQ0b/3qwQz472gI3SFc/1UH/SyResW9uWhN5GxJppSKnSdloOM0lAwcBDD06/FFFD
tJuuM9gU0BRFZy2J9D2kSbaEBCMGxHbuy0i8Qaj8MgP1QtPBlkAkuXDt+rlOKVTsk+fErdekdC4F
tZvhwDAz3TpIc8XBSzD20nLktSqJpwma7Wg4a7fTlmZ47nqHiPBoOIF8UsNQLP3+J4vkktiEtiIF
EXds0MaXBEY2Hlcic5fDdZiiTdGQ95VfKujwlYaPHtow4v6I0Z6rq+IqWo1sqkm/naiUds2XsNev
sdI5D7xtzDYap1tw8J2K7fsJS2NZq9Ogy4fOuJcWXyDCSaf4XdOjxVAZ6aJQiAOSz75vd6I3T3FZ
h0R4DofBbwiIq8SPnz9HPJtjER4wsBClWewCn0UC1UHc0t06hovMuwmyOzy7/YhJJdR1X62cQAdu
YH5QmvuSthCKY/VcTSFp0NpemUcCaQgh5ciyGUmHQBwqKR4NeeucdViMwOCqSSsynl1BYLaUTyFC
uGXekQfo43xWFNoyWjYT/Yd5ei49QVqoE9FsSXrAHga8Zoas/fYVwrF4rloqK6fYUSSnteNP3oJc
+AnS9Tq1uq+uL9I1mSH61nESdodJBAg5FACL5wxrBLn6L5Fn0YNnSXHUq9AJEckJufPNMn0ucJSu
M0P6V+Bl3kmtjd4l0/AuwwMM8Im2fd2StXgggcdUS6Q50RrijQc2i/fGDE6hTtS/+ZXeL4wo0yeE
m76TztgSDJkYjwXVTBvDDduLFxGho+eJPOqaWz+y7zEfM5gNi67Om4dKptbN4xUvNb/ibkmifq8b
TXksOhsGW4P8cuuQO27ShlUwGt4+RGcCuUXoBvhXWZ3zIgnX3DUQz9Dqe42E0bOZu8EBl1Vz8FEL
EQmtsXoNtc/7Dsp0brGPL3NzPBeeSWZ5OOrJI7Yw91mvdRDzIoc3AmbahGIKL/YwFW8USfh3YEfV
E4sOz4/XhPLTS4R61TLL6ZFuRsnF7lrn5vhJdPUtfXxoer+8M3rA9s5Ohktd+NFxtJ871KxQePXW
n9rhGkD6PWm2PXaLPB7NNwdt4Wao6Jq1Qa0e6s5VJBVP7okK0/Y9cmJ3JwvlYVkbhs+knvJ7lfXt
vUNQ+CVTRrKXMcn9yNJnZ14c0XjrqQ2qWShT5vqFsEr0CN2EoiAwjWVhJxK2Kiy3cl6w0bbRHxqF
CHHTrMcYAiXyYkGvLQeOp/fEycy7clAWYhLXOKLHRKuEsBjDXHxfDO9DpOjKRUnVtdl4gXTmJi3l
2D02fDNHI141o9wW9MWtVDX9gtMFeO0bRbpF0N0CTTx5+XQRVfom4plpk/uIJAt7ojHVbhGXi+FY
xckablasHddZIlYIV7bmI1/k/tXd116r9t2Y0J5g2F8i4zIzkw+bJAW0Q0u8w5uWpBmyfXsuBtsZ
wO8pyrvzQlvf5kH9MpjFzcztfax7d5mtVrYxLaPE4hWrbZfivaqfDaP116XWvGIdjRZjGDNRSnHr
7O4p0IxLOaIxA3FcxFF6GgdtH3ojLsSw25dGZa8cigh3Mp/d05N5GT30IqadUZecr/0qAtTuGxIC
GMqbOF4o0950dbvJG81cletGvSCiW7RFc/QjD5Gvtwmz/KfMm6c/4UP/Qq1p/TZv/V2tiZHcgdFB
silI2sJv5f8T6AJPxsTkiH4nshfW/Pg4DWq4DD0MMFbG8aCLvLobinB64HyKrj3tyDeD+NZLHVSi
XzQi7149pKif7u9HJZ2fmnF+fpz5SYrmZyqdny5YhOpo/H7i5mevmML0sbdoHl0UPJpqfka9+Wkl
pmY6ZPMTHPx+mIfQauiBSbVDGPCsj/NT783PP6nj4VpSyH2WfuNvyYtFAkVvk7dPgnRc5UZN9j1A
5AaeMESSzylDI0K/DwNOHr2FqKzs3rq5zsi5ZDTM52EUtY96UjSPetHIIzkjiKynur2EE9uYP590
ZoAhjOQnnbeLc9CZT0QtLIxvcz4l67GN91EJoV5W0RpSi8NUzeeqhrBkLX8ftlTa0MieetF7XjJn
lProX+0k9deRZabPMDgsDOC+AChRL47V2EcPtl8YvwJfG9aScCKrTLjkf18ChUqNbT/fDM18RwTz
bVHM90YS++OPPt8l9XyrgOcUz8Z80xDkwKXDp1nsQ9oJ1lAo8pc3307NfE9hM4z2w1CcivkOi+bb
DPH8Uxwg1Fl4UzN9ARIekTz4dEubRvPc11J/9UbVknsSZ+bL6LiAWlKZ41tPrQZPjQVZXYYAUCnf
zbUSXUG8OQOcSVrRAuH0ndtk+R3pHTFJDWZ0VwJQI4CqNiVL205okY8ivnaDD1s6FKdgf5tYbpCZ
bvAzuGhR2t+/0arZ812JWo97WnNzvkx5RB90UWT3RZ6ID68yzaNMOCS2ovfYV+GcmRQw5ub9gqzT
9NPSy4fOynD2lbrpVJsIuXVZsy0sFXQNgJckJCpBgbbQnXJYIyi6Rmybu16z3+ocKEfpHZvExFw5
8fUdcSZw2QxrXwtuSVLdsjaSa61P6hVaD4nKLid4iIX9myXmRfN052wp3183pf2EupUJSDOttY5Q
hhMWgQhyr+zq9UI7eZQOrrnoaczR0/jm6tQMirZJDpEQt9hIbkgZo2NS+ekudxmzldQPoWXQrdNF
A9zN0DH0tKS4k7n+HuP/2XlG/DOOGpXP1RQxFadqbRrjiRZ1fdFL/njPFwP5VvfqKKM45FiyN7kY
bBzkhbmtxqxeGZ0vF81kb72oIBQz7+lfp8xkA5gKrKLXH3BYD8yF5kIXA9yH0T+VxfBMOkr+2Gsl
65iXRVtbqc4jMTol0soto1WWkuRDTxlUkWYYWysR5cZDJYqyrms2ncmzVnjgmgF68oUWju4iHJr3
Pu/c/WikMB5T/u4YtFVLB2tD5uIGl76FKwAagq9V3CwqKYdlbczi+BJ7AT4UouToPqHl3EEaEvqS
0aLUWefvHQJXKdpiYhojVv7IC4rnImj5hEe2VpKvxbLxuxs/5+xDy8m4dgmve2o8kR/RXwd7s/T1
mVOJz0XgfhkEFd2oBJ/4FnCgaBI9cZf90N16wwBI/IER4yahtP2uLDBWFoL3LvOjL+KlnEVGd8gi
rRq5YirAnjLGn+NovvbZG/L/M2F1fCMoOxhz934yCrrT0/xHNNN1NArBKKwIJc9aYt81zzUpN4jD
u6Y2u5WVcDgaOotHl3tcVvhX0UCa+hPJqQ3bq/FrKHRr7VTJk0vKLPy/v9awXLMZl4guQiM6ha51
HN0edavF8zXUXBLUCMYrAOk7Cv7oPFduUe3ilgKDyNSiXdiH02vizUtmaI2baSDfeTE05IItk7ab
3oM4lXh/yM5xVaYtIXTNi9sm5UcSjdY+1IR+jHo/2Wet3VyCwm3vOzK379FYD58B58/RMCt3N8wT
VTfPVvjD1J01z1v978lrnsFMjfxPNH7aKvg9nXHi2k/ePLLV8/CmeMd/X7z/FkP1r7mnP9sr/9f/
GYm1/S7uPuR38/8OjYU38r+msW51XKoaXvE7p/J93H/953/8lcbix/5KY5l/WJaJIAiH5hwH/Scm
y/gD7oggKJzNYrZoQlf9tWsTJstxZrqKgBXbo0j+T0yW+YeP3dP2HMsz53I/799hsiBx/4lCYpwS
aASQTwlkj74+//9/YjnLPNW00TYUFbz2CNDIIg5mt5MdomAKcV5RioWLDgXdEjnJuJ2K9nswzRdy
ol6lm+nXoMLa4lT9V4t8nLoTOQMhQq00zdCIdK3yx7TUm+Mcrz4fgPlqwpSM2Tp5EKWGsYaWpB2z
JEdpWN7R5EF6TzxGjMbOa8FwAn8/XgtWOllSqTsS8ZSFKG9zysDol9C+EOPipSP01Sm06h1tG4AT
fNKOkxhLI8WH/Nawe4+hxzDqnzBwd8iHe7o8pAjvYTH8FbVh2lqvWLwNK8lPFDVZxzaxp0OpleIU
5QGpYKVryx6N5/gc+GBbcfrRE5KXAixSi9uOpM8SYbFm9wlWLbb7ZaSACRPTVlfaurZpndqnUhjD
3kwdtZmCsVjhHUJZURkIgFFHjAP8jWOoH0P5d80YirVRW+4Dmjd96ZfROqqadDs2JP4h8M7PblLQ
pDY0wacFhLoTjB0HNA3liuAPE/mf7+7T2igPehaKz1aM7/XgR0uLEXSOnm9mnR7/K7fKTyV87RyI
Tt8jUxCLGJXHasoc+zyltdo4svhOjLbfsgS7l1pPiCoLiS1RiYEAUi88oFIXW1lE00nvVzWow2Be
PaavsqR5qCDQDKWNSl+tYny1vTKi42FEuzjf1rLRT/Z8f5eFHWGj505PuVTi3Et3buG/+/O9Lzr+
OCF+Y7TpDbQYHQNCMU8K/CkKWnAMH2M3u0FI3Nx5rvDmCUOGQ3xrAlq7Upd4yYa0GGL9mElQhXiM
icwpU+pb636eXVqGGNciit0Fiz6rpHrh++p/D/PMo8/Tz2QW9UrOE1FXNqyDASHbw1oUA40QDE/J
PEV18zwFcTNXkthvWT7ou6RtrsY8faXzHCYSq9lIhKnPethREic81H/+jfqP+9xi3WTjYT2NsOE2
HbDSwu8oJx2GZiZrsRDXW0li6z4P4IOY1Ory3hYDZgBH01ZRnWYXnxo1FEQQXJSulxtsPvUFs113
CEI7Js6FDK4sijjO/GY7teV5Dp+PwJdrhC4AFdcmsb0tUy2OT6d5NsJmeMRgBUQF3b4z2hDHjS3o
i0nMbRp38jlL0njJR9Wte2fswLGTFvWx0oI3MPduHaRmdYrbBkf22Au0uDhWua2d2lypoP4uyjpf
hYy9oJHsX0LawwNAoL8qB/oW0JdYy7YRBwpGrQuaIbJVAwdRv9/HD72RMaqXaJr0ZCLmRxPTr3b0
uaSxiIreLaBmkzZdlJPxEKQtxUhsNPMUVGwoVUP03ARg1iKMVmnbo8kTJVC/Gc212DJDqDRqulj5
vaZexsYXTypU7q7yxuCFKHGCD3RiT5wOPXxsI6hPcEUdK9eJn+isAsctZrl35EzmNZsM7Q4v18QQ
lyUvqHNe9IituRAjhpkQM1Az3JdtZ35jx+iutAL0Ky1uSKogSIdQxqGYDl6kAfjDTLEd9d+d1ciL
W1o9hj12YHYn4IcA57jmZunGmMIXz87KO632jqR6Y+rCyRLCRVLPoS8lhiTcodVx6AICxpH4Jys5
pOwPXeQe7Uwm9/0UlKfAaJML6iUQGF2dlIg7PMVt9YLTTS3g5aB+qhHYbaQ3R8VknMtm5O1MpuSp
83kZWT9O1yCaHgYnlysTweuqGPt4j5r+gXsIpBKHzMbRnfCTLWjaGZl2C4dKx+KX04lm5u2lSD2H
SLspXtGSiWjRjE8D7tZrFdrFg5OgEpcx9HxtsPEhi5g3M+JLaKBjotYc39gTdaVWCMCdVRB7covF
q6YtAxeAJiuXilZKYDrX4hSOnW8Kd/KVL1icyFF4kLX4FZseEdYJzAnULay2XhIy0rHHWqqZ1p0K
OF4CEvqKPHgm0JlbcX4NRDvhf4vplyta33zxOp7mzDHFmtxy/0ytDX5qs3NsuqCtsP/UQoU3OSFt
6maW3o/TJGfZK05fyvP6CNeK6V06cskW2LstjUzGqMdVGKkN7AjmYy25uoMxU80ieS5JXF9XJhoM
f4qeZS62jtZnK8GdkCNF9N9gecnt9suvYuALJZrs1lVoWpNhpIAh0++mbgKXQDvKbZc8NW1tAm9q
/rKeP2kvHYON1THPe5Kjp8VJCBP8yVz83rlmwJs6WSCwSB3WLqkksxQmPlADeU+GZ3329JD0VZKT
Y1TbyxEIYlngn0O0ifiAbSCnXse1dk2X1rcQ68Zqasg2F3iwd9ZQfOgapxBVIavADNaidT7HHDLL
dr5gHKn2bg1YPsv5S1rZ/x93b2P5/Z//8fEF+72K+RjjX+2f51bXJlLeFMyjFjAbzLH1306+p4+v
jzT6H/8Bf5mBPf0PRlgecIOAb8tyfIzWf1FzueYfRJboJKL4COaRBP9tBLbcP3QUXuzn6EoIc5rn
5r+Kuax5pHY99AuW5VuEd7v/zgjszbKwP6m5NNpZXBtJMv+Yfxh97axFeJC29Ov1rtwoXrxAREMN
zZISMFTDlp9j59Byb6sQdR301nEPBbp6MkhEm9z15QTfknvYm7HQZvWzowXYcH1vfC4T6dtL8tOo
sKzpJcgW2FD9q4S9e3BT3R4IwJNsvpY7YY5blGFIJl7ZGQHSKJ2nqplDnj5hD7Vy37HanhvTsQ7o
jvuPLhjzzzJKyQOs7aTcFjKv5VxpMYtvu4b1vB+FeK9H8IiFVfjDuB31FlGNmWVdtW8KLdBmEtaG
wi2NpDqgzowfBhA+2pimuro5rpKPitIFYqNUR1AUZoY3c0zl/TAYo7YcOjPtCFyYsgzLKJqdheVE
+ltFexI915aGXt1n5rkOeQyCRqtw9ytxtOHgJ9I+GCoMr85c2FF5sfloOol6oSnGuZeUYVxdmYqt
1tr+jqts2nb6kOMIFG5w6sCG4ekI1LJCOFRT9Jq36VTNBBCaKvpFVjafo5Y1IIWZKTq02Wk/HUtN
WD990A2PEE3TN8pXSXteWFZvk5naF1+NiYGTLCHdSmKWe3Lt2dCnlGzvIxCQuzFJGMx9OjOdBS33
3TbN4nBYJGHXP5Fkpj1XfoxAi7lDf8JtzZTlC/Qd65jsjntPROZnYvTVtp7wpRsmoRhcKGFzzylN
NAQRCNJdyzLwj4mVtqckj0A8K6vOd25SxeREAaLWCzou23fK6TVIfVs136EMhptDuzGQtt1iBPZa
zaP0XoGookNolgxWWbZqfZtZjeZL/wLpgsuyHZN8WDo+0b5MOXQ4oz/G27SQ1DDaazh3zdrg+Ha/
SboK7FWUVQR8lUleTmuWCq5IzZf4mVunLt/xHkev+oxpCYk16iKdwenQW8ux4c3IZI94x1Xtkjd2
UASSS1AJ1WHWX6I8z4dV7IzR1TG4I3j3RfgqGyv4iZOSUIA6M1FjBaLdAX0q41eJIUouoloYHQ7N
gLokfldLsVxtRXgjM9M4KZ8lbRFkmbeP+r7BPBwNa63GOrXSY8lfN2ajnQwtBn7ulPLf7WKakvs2
6gTCpAFrftKP8glHnf2FYD9+G0J46EVN53y5ymMSOFh1nE2ia6m9nDVg+zJyKUuIEnJiaS/jrl2Z
eZV5S71IW3Lg/FBtRn+uqo6m0fv2u1qYq7TxudndzCHAYGjdB1Tfzb4TXYOPUqrhkbjg5tOvneYl
IZPiDnpv2jiqaYuVjAbw3LL2uwd0MM0L1J2zqJ2+OE6TUaEtZxBYD+T/MEF0QUc7gd+CMRbRHCmM
NY9spCJkjUq6EnlJkx5zI3WiNVm26CkTDIF7PFMoHkj/mFB25my6md4XkHRO5yy6xBVr0RTdL3+i
zwfvAmzxkp23PWdpNl4Fc4e3KQLKhJFTjMN2FvVssYnre9b5nmpoPsa3mj7RL2y7bLZmq49nHTj7
rFBInn0kVhHDpe1ee1nGj12nAUdnnTD2ek8xiM0md429vrs0oSnIIiIjkeVB5a9FEbnrbuqjTRME
pBbhmaVbnS6YDQrADB+2X8Lytzr6pMn2kvc87otLktUOKyFdYzgKhj3ryPSlGI89SmiiwsD6Xlgu
Uv2Rz16lJcE1dh+WbwCbKd7W0GT+RiyO3X5wa3zEevvEp4MXVh9D42LJHjQ8Y0g+aM7Q0yPuNZa/
LTyCH4NYU+Q/NFZf8l1Nik9mRnFrbcWXsNIVHEPYV8k7Sj0qjasewWJV1YQimcpunQ21vyZGBVqV
8kXr4mpnW9PL5yYxkvRqegUNle1oceiEOpWa9Inr5jFKRr1fdbz9E0R0q9FuXGJTp4eut2zofkI2
iKAu6zOysQDkPPdHyj9DSovrihblIQqjn0iri1XZ6PEtNOsGm19mcd2wcnjbpAqSaEl+h7uGACfB
KMzdeGezK2CKKtA82F01RAtrDLKD6juUek6XSVzTRYurNzFhWlg0wxXxg8N9T3oMSZigANuOqJy9
0QaKOV1l9hIpnDMgV7OSk1WTP7I0i9Zi97ciEoAutRpozo3Q11MM33TTif5f/CFS5nMQiq2ny0rI
BM4vzdd4dI/9gGthkWSKnyp4hQ9l4TYvVub1hHcwcWATah0g4VSHgS960itCJKAHHhuneJF01tIm
2jY7V3jbtiFHbzEa2Vvm1f6xFZL5AZUFYHzuZ4fImgUeRlLjt4ybwNEXHDs55xDu2Nq4Uhn1YBqF
v8B+Nn1l3AZc1HF7y/LMO0J7DctRooax86a95tTE/9hcPlumZOtg+eLDrXsUwMrPdlNvhTuzbZon
a3CsnZc6hFNFGchU6xFLUcU+NDfaY/9eUWeOtLJXw+wCLw8YV+VajLFCgmKwP1txXBMMFifDCeVi
e6KcgG7nLkjPmcNBPgtPK7pxKaEfl1C0GguBMDD4R51mUM08+gmykCrdT3FTXLFcZWT99NaJjIPk
SF6AfVSRQpMIptq8wq/4q8bJvV9k/uJZE7ldXWyZeVcWVhf4pCVx1S6DYGEOmvkFp2lieDHyhypB
5FyRxWKvZRraO91pyyc918mEVnz8BZT1q4xSV+KTJSJ3QcO1vjDcxL3LSdb5BeDmkA7n98WSLvny
va19Zzm1VXurzKb5RW5IeS9aMZzzOhk98KoEwsFpyL4ikw6Vvw4TQ8uG1TJzme7/Zu+8mttG3nT/
VabOxV4tVAiNVFv7r1oSDBIVqGBL1g2KSsg549PvD5Q0Y8keT9DUOT5byzvLUhMEG91vP+8TbuFt
h8M8m+SGhkC1O9O7xHt0/cI/S1xJOw6b3EzmMaJ+ELK8VthAs6b50orBXJjIji4l8lBkFgDX+2LC
ZkFjH7T9rWSgdMKXqQzo44U9p7zQWPlYcEGiNbQju++iJ6633CKjHu7ssUEaN+YD1i99UMY5HBar
vrKHLilmYYWlh6N5ATIpQx+GcwsV/9KEtf95BBRemkWa7GzVoNTIq2gyhKjcrp6RWZ0i6C00b8VX
1R0rnlezOgRueR6UGphOlhsRmTljzEqlZn0dL/LGL4MjM5SabNVg0+Ye5uVk62TZvREv8ctSTqs8
F9eq2dE3USs5GpaASa1C78XycAhTAS8CzxwTCCB9VTtth2IdMxt51OaNWkBdcoeu/NLVQRk6RCnI
2TwYY/ckwHs5c/Ta8A+ZIfY4z9Sg3qHYYlPryA+5wP6A+19ZjeA8moTNWu2T+LMQfnGRFzFWJCXn
oYtwELbTKq03l9BcbIJKt/COa+THAAItthd6laoL9l0CT00Vesssskr9ku5p4OPESkkw68rKTwEC
yEhxFHwCxBYTvtZddpz912asZpkTRSK32N5SC0E0W0WL7XYF5ZBvwfPmPQrSlUGE00Ucq3nhjHZn
jbPMjsVTmEi27qQ4FH2ydWnYBZYkP1hW3DSQ6kZ2crxLa9g1fci5umgKhBxxGOYw1Gp/4vl6T6qX
BRf1SIdusHMlWFJjYmolrADqcVaeN7gCO6WJ47mS0glcDlRtISRHYB6oHYREy01kzQyjcnd2V6gX
ckqJsaDqtaV5mdh6vOhzo5+YDfiF0FIeqdHQh9kjH3w2tkW2lNy0X5SmxmMi2JdhZfaNsihCOdtp
6E9V4i28eAHtHAZyrvbbTI7zYZ7mWUcvNi/BXphVKgljhb910fIfapEFaQM+WzkbjApiRtyqZNeX
2gTtmQzpfcISlWsCTc8/551pVU5hu/FTFsO1LrV4QC8hR4YTuwUtixDPZ7MhWq4sCSqttbLGRUfL
vbkrUwHCqwH28qC7LZoRZM3Ng0if6bKX7/xYKjcRRjUU+Fj0rKVasZ8GYbrDCjDO7E/IVJauMFZj
FAyaaLqaFnk0KmdOdYXI1j3KmNP3Q2xTNI90+y/YueHOaXAPNjRv08O8liPMiIhjWclSBfOuAIk0
2UMWXomBvqH6uGSkoTkeitAPZwCVzcLOMK5ohqrByrsWR0JT5RvqgEkTaqckUwRgS3od46zSuaML
5lzEdM5hq/Zh1NB0ach5SVDAkUdTQE1KCzk4N5HFLZQcbtZMx7FwIycq5ZQeuQu8z+6oU+2VzDO5
yJq6WgCqebfoP+u7AWIPLVzMgIjTUaNbr8rMc0TcVY+CNQmP6GfGq1GaTDK9ur+ij7IdMMH5osgw
BfWg5LlUe9KHXEPvj6yi7dYij72NYeQR990IAEtpOGNgHOirLJLV66IcieFDMWxMFXqCHZ0sAwSb
QiBEqr2QahbrpzudJWYdUJbCgenD6gRlxZSTCTzalC1wsCpheed42hgfQreiiJaTILvKMPRfUsIZ
6Hd7cSnGTDukKSFtMzy9Fh1G16C8odFeFVIOAsbKqx6SVWEtzL71r3j0UNsapNHOLbfJWR49lOVV
09oY/KVycpri9nGkuT7eYchV4K9YFl0QjWj2E13S8JgKfNy3iM22SJsO4TfFhTc4uoxtvC9jboBR
6ADjognry0GNg09N3LRbW8IyjGdX2Sp+aT8WlV8tYU24iB3UAWBQ6oRyjX6Jql6JwkO9MEIARhlY
n96GmCc161XQNCrSTiuhhZ02vtOkSbJCZQBvF84PpAEjd/Bw7DdSzIeNTAaZuVJaULJ6GeS4WGuu
S7Y6n3cr4uWUHOsE9NAuXRXOa+0TbT4bmpyoH5xXDDQsIQoFTe1PMvryk1FxR+Y1wHt6pSRKuDTw
Y9xmQn0yOQyyK+NxUTnIpuvjQfTm52n7XLRRhEg4xofpM5Jun+9yLDJriYinfsAMZJj/O4fzOHcx
3ltrg05FE5d974CsQgoeB18/G9lSGiemZfUSIPtPQ43/f/XM0ZFM4ai/3zOf+7v0IfB25Rv0kLb5
y18+Q4amcWBZsmoLGFoWzempOf4CGRoH9MpVnBsR5z4rQ1+65pp8YNoQA+3JEGRqtgMzvkKG8gEQ
ogIWDmyuGDLRLX9F//kWMTSFbFq2LZvISWVDFuQ7v0UOG98wEzkJh5XRlcWnhDiYm4LD4YmFQmEy
GSv7LxhY3rmRUj5apZbedpN1rNH6frMQVZdR+mXlwtQl+6ZU2uyoTXLPUawgftBjr7ne395/epr9
zyRwaOYPJ6Ozeyh3vzAhfzndMSV/We/axzj4Gtbe8zn2o7xMTO1AnUTGOLyYArhc+21iwsxQhLBN
OB7CokfDrHjlcwCAM1mnEFBd0SFa/DoxVflAhh6CfY2MqFmVkTP/hYn5Lo8A+rRsmCYpu7TouBD5
HUU2DGu119zYXXT4WoJdrgzhL2GMOlEvVl89tN/h4yoTOv4bHXf67NBFpmwBk1QXxNXv3stLJDAR
hEgLGsjL1mwvhqRYV5G5TMHKRrv4ksj6vO6ubW0pmeOZl4wyi/kN5jAzNeg3fUybmn7OH1wVd/Lb
q9LUSbjP5dFXePtkUpNlNslg7iL3h0WNvjA2unreqeZSwdJmxLXQlBJOfkREgKTYHpZVLpoXMOGV
Xs+Fmp//+IJYl769IkvVLBKv4Gna3yRVJbADJVv2gPbHxl9xKj4kOkFc4HDsnvU+rpS5LsVnwJxN
OeuNkQhRpC/1yFYURq2YrM9vpTLVz+l3xTgnWO5GCDqqZrqE8o4XT9rdmv19DLOmxcbEyNITA/lQ
1GE62SJ11Kky8Ukj+F2rkPL5NsegAPXa6BQw4lNVP5ELycHvbJmL1AljbIAwYWz84MiQLjo1uxhd
Orn4b4mCVElrmGQzTtfYMNvVI8/A7KPIjitDXeMChqb8ZkikQ8kv5mN7J6UbAwQHAE07yiEgqGId
2Z/bpr1uQdZm5UC6ad6bh6L+7HbNoUUUcNxmK8puJ6liLHi8c3R5gRmexvRTOQXOLX1YJEgodDby
SFCyuvEkP79M2vSIltGyrzSk8B6ioKReFqE1LCWs4dh46BhAmEHzSk1w0vrGkjSKHpdIyJkYBHVw
UNqlVtB40a8pYY8wN5+bKf6FMbg1ah0laJe4X5Eokq3Lqpt7ccXt4W1s4eRFd5GVOmbwuHhI2roB
B5qNXeuYOonIcGiV4s43zwCIj1PMH4MAUGGSFsr2US54MltrIYc4QgeXUZetpfIUs9Ul9ly7FlKK
EHdFn90CTOA9jNN9gWm9fVYRZmQP24BOgaW088Qyl5jwzT23ak5lW88vEQneemYineC8LjjSRGcS
XOwLSsasnntMLbV2kUslIrv3tALsL8+5aUmbh8iY0vixwujtXB29bGdrAUwCTZ8eGnfqULv+odmJ
S1Np1E9GpLaHWOc3X7p2ijnXbA+St4lFJGb73uckj9J5jF00yHIKvKRGuEHPXJ3+En1l5B8c2Zy6
HCVkEh1tJq7C6Hd6OcTrVE+QJPZF6534bR4c4xhyppeVcV6OrXlRq0mx/N9Ncs9J/IO273Pd9eNe
78kunWiO73ZFnprpz15YjuKAsg9KvSV0+qn70uu5XLPZFW2CAHVDF+pLH/d1V9QPIByaKnuVgr4B
hcNv26J2YHGg0RlxClzXsFr7C9ui+o1RhmzovA1uIjb6MoUQrrfbgl5UWF3i47wOyyBZD+jG5l5g
H+E+gN1O7ZGNjafqVYRH9kqQNDX3/LH/lFQ1ZvFKcF16dnEiFRYeEm7Sb0z0uBdVK86VFHwtGhUM
KTpoViqMYyhzcBjoV7mfhWolJyRkHlYlrlACG8hNHFUXEs4hrBS9f6fjSjHT2xCztjbehhacStjS
ZNagVRlQ8hWNYOsMbIJc4DQC54FH9m7tsroM+UkZit53YHpD7/Ez4D+CqVZBHplrKaXZvkZq0l8C
w/g3QZ4/YjefmkDZGmb4fRDeBioiRaKP17iSnoapgVGxH0ebDi8sp9JE5aQCXQb8N0c0k6xG76Cm
YXV2EeLYyhahrwewZyj3k/l+gExuLBFmtUWAqM0PbnB+AAsnCgDdUUqWalV1BVCchoaunASgNlo1
+gTLkvSIecUUiWZdneQXchc+dHolcFVzCYbzB/SVikxTxark20Tpoc3AmG5XAwpyEhOEd9l2/bzW
Oumybcz4vI0NaRV3ups6uXDlc9w9LWRnXgd/FfZ5i90xywsEyI6uM4gZLeso9uUU/lg9nLtAzcu6
EAmxAKy3TiPFbGxxTpTCYUm/e5P3cR0uXZrHwRyEMnIR6rh1u/Qtyd60GWKoWi3d8rDCZ8RfQXVv
j/A7KJDt22NhOK0+AJzqpkxbPawwUiZXXSCHLLT+c4prHy1UuzLpOJkFfJw2SVB1Ye5mb2sTb/RZ
grNSOVdsk15rhxyXrBJwpZu6MsqTsa4FhEA0h5MzoyvOfOLLFadGjIDZQwwIAhYLnSxtz3ShVcr5
EGHgPrfDSkJhKszYXAAAEIVul0rXXYToWLAtHzB/PmKGaXALLM8bncos1FNJ6nDDzINkA8DneXSW
8zJftUYB0T+EBXxU77WmnQJWOjc6+5z8r0PwLmOmEmlLTgZ2KHKd0PjRJgqE6S2Edsoh8CauzG0f
QtCKA1mdV0G59mu61Xopn8AH2LuhXbRae+fm4hIXucWgiOE0sLW1nkQTg6o4Dj3X0aIM+7YTg+1s
lk6R17k3zusy4ytTO2ImkyE59ORI2waDJj0ynZ3MohRs5a1ak12V9ta5LOMhn3X9jBpWXtoJzFo+
6pM2nid161QWf6Mo+U0iqeF5JcuHBFwETlfCxMRWQMzVKjScbGInB3F0aeeSOzOkamsZA1JDWuRF
h29gq1veGv15zL7pXyVa69N7NENUgLRzislZxjASCAUDLvxKklXzYRxl2KSZtBOCLlRhrvAI9qHO
Zd2szc3Jl02mBMs0x8QFu0DvDijuKml2IgehcWsP3qUaJ4EDHNWsOjfOeWTCZSRivDU0s55jlGbe
j2KEWKIMC8Xqq2NVDfE3Rqjmp7F72OrmJUvfiRci+tKKQcUbmGB57A+HEDKIGFRjBWNhleRWs+LA
8BDTnaCmHR7pp59pPi2XlpbDUlTWlQQN/LGrreiORtzTH9Tc+yr/t7MJlHkcOOldIPeAJzQZRb1d
7tO8B2sNFHsteWTH+wlZeDSvYSN6fa6f+QhUgrk0Npim6oBGJ3LWBzeE8xHe0Le05OGGQ++e94Tw
GlTUlEqhmjeTJ19UDszLwNIgIEYZdTYmkp+zMlXuyYXheVbKjgBAM48BH+NkxBYCcTns9B4nkqNI
8TkB+Hh+4Jqm6CwWmM5uUIa25HvuVxO0/KwsxX6Vwbgi3vQJpD2ibQZTRfZPUemXZQoEJ2MQDysy
vKhDCeIjVr/mYVkgBacr6KG8h5mh1t4SKX5zHGPJ2xFFsGyCYHKrbo/Jfek2OnZPWJz4Gzjy4SJU
KSAj1fYdHGbtuZrChcLU/2JMFAANlrNjI3X1VVGoECbbWp9jxY43cu+uMNhWj3ATrR8VlGyfytbL
FoVGENsiqgqCp6tIaXrcUDO7QZUbYADijjwthhyWzG4O0hltPrrYl8FQKd2GBiv9srDTYR+AxPc2
AWOcUBIHLBnpfGGPWwpRMasASoOsDDf03cUWd/KxRx/vpV9YFOgxFybsiawj9S8jdJsvtAjP8Lu3
HrxabwjZDs/LOFOPDBm2XEZLSDmRhRLh3hGYdMBoW4XzuE7G4DhBvLHxewkLHCuRViYkbWSIrbRS
kCVtSUdwZ5npefduEfC04jHe3A46qxfkLfWMWhcpGely5E4pdyJ2lbXcV8migslEBywpt/HksB7o
6ipOMry1CuWI3a5EESC1G8srLMfoS/K9cbuec4wPSsXCQWc4zmv9xvfGfsGdu6YFn81EFGDsSGbB
ggiIdqbmylVi19k8avp1SeIO+1y+snvtwZOVbmkU0n2B2sHHsUFZ5X59pBEzjb3hMYSaTZW4166n
OVbhH2L6dwd9E5ct+1RuW7IqmkZf9mPzAC1FOSVZ8BHeOSTXJheOYsrl0uola50p9Y5EgurIn04o
lRH5DwNOiEetYVXnCULaw6qC0x3mmD4mCWyCtq3uJ8htnuraQytie0milzGHu285iRIEG0GiwIhh
/CoZZOU0LewTZObDXMPxdJGm0uBoppIttTp350UDdbfVS3zQ8gYOMa4rNl92JLpwUVu5Q5WwzPKq
PhlzpYQ7PAwrU+S4fPTqJaL+HghcCYjLU9NjDNwNig/FOIWgrpxHelqRgegtcN0MDvE3judeB4IN
EI9PoWHrakfPIBaPFW7/C/o7+RMaMWvG9p0tRTNC5qkw1tcSddKV6p4TalG4Krp+cn6etKi9biJL
NfpBvTb3YtW2RLca6EGN7YKgfZQGYfiEHTOtpsRFAR82Xj0F9PVVvpJKDFcWOGclcMDZo8tpt6ZF
xsad7zdxY7+hayaWJGtrv9G3+01/3BcAUwAJlOd9YSD2RYIx1Qv+VDn872nrz5y2zD1CZwF1T6F9
YIETcvz7UPn30clf/gu40tklu3QPXNJ1+fpk9t23+A26VE1MdyePaiBshfPWC6YuH4CO67LOkQ63
0j3a/npIA1QXMHOBNWEFs2vjQfgCqk/YpUCCZBMZvB/yL0nRFO09dqdbliZUmj7Yyag6Th9vd23o
RF2ItYVYuN2nZshO7CtlScStxgFjhk0ZScYBVnTVhfYJsQC7CaqDqgiAPq5dnM8Cl2QU4u3lKLmF
8YLNy9onAI84TtMiK4ymO2aEh751N/SwG7FzmzXBddPdQhVYSHBcUfNcarkEa2SgVimJYT6Cm1/2
83jtYqWgnnoPVEGzVD8m3QzA4iQrsUgzniBzIi6mxJdAR4xDPawTgn+UU9qHztBJ89gfVslElcBA
H0PBcAn9h/ZSuURY5U3MkdMehT2W/kba3cl2CgVfPk8mdTNUCGuma0iKKxMjvfS+js8MrH+hUkY1
xCLihukuEsIAlIbuWd0qOBx68XioaeVySiOURHJE2R3PjeRY64m1gH5xVjUl/Bmv5HQjwQGUt7ES
U5+ENI217FFnJ52nhfgihxLosbpo8S7IkACGbkfhFi0HVIIlupqQCEGOsydaUG9rQzuFPHgfmca2
z7hWEtwxDFDUz30wfMqkcakmVE9CAEpD655N7RModozq+cHWS/CKLOyqmqgIpwXwWtj/Qa4zPKZ3
KOyEjOM7LZuEYQrsP9/NraiVqz7IMOXox+RTWUsUHaLa9q2+ptO4wGi8cGLTOKqjdBXnZ3rSr3RF
bOoECQorJxVhhWzLJUR18gCJJHkZNJiUhREaYVfbam22xELyUhN6Ce4OyUALNkW6kRuxKvN0owxL
zIoXNHaJfRjP9dhfW2ZHnW2f1nyFZGQ+CfxY9OiLxG126XIGZbL0MKBDp4xDcO0UHXSRsDq2bLDM
HvlgKa3zUd6WerlsNbEdZPvYEN5Jj+7Qxogq8eurkK2QKbkaATqUW4NTI6kVR4WBo1cGL1PKACpM
0paowjgHDADKbXBsoS4sMG3ieKwn1l1SD+s4lpE+Y9AIIYC0pGY8HnsMASx3N+T6MkP7lzAgRelE
jVKGI5aLa1X1gBWu1LI8IXhyTWV3lfa3Y6j3G1RmGTHuivmlcDUUXH58IxGN6+fKygiZIp1BFKdh
r2FCP8g919iS4egNGJzBhNAdG77EpgBOyI3x9qvV9Ts9DXWCgX47NzwvnZqJCw7tGwDY94qAMZOt
qOxS1CZZ9OghAnO5fW6p3BbwkMa2PFLM8qJwo9Oxac+8qoQ43J8GAXU/tS7IgXkc4bPjcLYHL7DP
sFNk7aovKstOsQmLtqHfPuV6+gezGwnFu+sGKYPjy1kUwT4dUOtdL6YCZ0E9AF5cmCUuSap25EZc
MKlQfcMBswTGdmMfxiLrYu4ZKPhZpAp80OiL9BAPCx+6rCnBci+LbsTW0GTOYgQCj2pN6CcdGyM+
Bc24ZGFdaXG/DcLmkmjLT6M2xY2oD56OVAd5k6tZtYNXIvyxgMNwaWCI2lsWS2OrPmEHB12/rqVj
eLKcKsa8nsV5d+G37bYDHcsNF4saIwXyJYLYMOxbqnhlpkXtFRnTZ3hoj6Q95k+pFPoLXcuvulp6
wuQfT73AeDKk+LIywhuK9lVJqCUO0U85jEm/9xDBcQVecVhWqIYt2Mu+/hnoaoUfAOrb8q7jkDVQ
iWZJt6gUjCS7udz6c/g91ykmHwhFkUdjaqLXJ7IUbDEJD/FDUVFmccQkSWfmN811WNafChmSXSpu
xqj45AX9GW78o9NOpB4J28+wmBeevNYRRet+t5a9kdjm8N6V88uYErxRNQciD9oKnfxFa+ul8mGW
d9tOWA4EictEUeHzEFHYyPbCVkjH9PSl58tLvvpjwi0XHUl+Rh9cQ9New51doDyd63Cts+OatMhq
0Je1HZNaFMyU6iYcL11UWRzhHb/Z2Hl0GKbuNRg7ptuQgODuK0tIaSsrImhy4ryVWv2Ed9p0LN5y
AHWKMvxSoEud2VWYrlU1Jr9HExAODbPGj9U8zzwN582iIBUJsYKdt1sIZfdFLAhgVZ8Q5x26kn0t
YBW7UvZgkRGPnV46yzDKTHkMgWSybV1Ea3WEfJ/ll0lnXEReuBEq0rWRbkQx6sjWSO1xpdqxs2ZZ
EeDkelXKznQTqh0qsn6dNPS8kKXR5KuTT7jW3HiVftyX2ucYBAwp7o0+Fld90tQLZvVh4ZpPo6pt
XJr8C1yg8KBQPMK5UGVyDB+c0rPihS7G48hj1zIIIiSsYGWW8k5wYl+oXXmRacMuKsh+iZr6Bs4x
8DAA6xynm20p6k/taB21WIbMNBl6enQYqfpnw0TMVis9DbrwSqmMm0ZtNjJWWgkCWSBUDDJjbS11
vdPL8hbpuhPp7uekJrmxBIAV9oXREOUUfRmhv2GtNbdd/7Rqg3M03wtYLJ+RCj2NAcl03LG+ty/7
QbtWCxz86hEsorhwie6LrCd7lG97FC6e2i+Vxr4P6VAFCbkUnq5fuPZjAq5h2gsh4YZ8miun+N6m
zUXYBtuSI3qjoXTWUDarszq0PiV9NY+oOrKRcFWUsW2Ocid8jMAA0g5+UHVj2lcdZOugFxjpPKGl
cRT1S+Ndml6yMqwS75RzToEoZmmxNSrTRToJ5YteDSZlxbHsxjMTSxWg23VgwGg3l7pIFjj24WhJ
pIVxpnT3tMPmiand1A3cxYHnOlJvMNZN+m4OXix7DR2pyL8uXMIZMc9wvOCuqyat9hMhQ/Mkt+96
TYuXZCfcIZBcB6W3jgIFl7sQxMz2oT5ltjNwTJ3pducgiEIkmeHsBAOZCGgb7bKXfA4wH1306iAe
pBIPRkuyHFQG1rLLxo1eple+V5jOGCpXdiR9yYbhmlDQvTh8dImranM0VRrq8kMouEQlxRa+xwak
pLZL77NmXFmjuUZbMYlxAEssyinP72EWgzGUMoY0spglYberDcphpTw0OhenIIKfR8O8S9r2yO78
R6yRruwUFn8RquswHHBtrihNSJ0m/npK+FUl1wlb+OmIRHIF3vgojrNceyKgcB4qK06hR0Lg/5yV
JxGJB5RPJ36hnw5Y71laoWKBqYH3C9LbRKdjkY10ykFMJM0rYdcLbLOG2b/7I0wwsA/MzHR7G6mT
TYDVXAVyclOOHmFKmY/hduVeaL5yxL0hP4L4UsAOdwCFAcM006aZySAgIOvG5T91aJ2oOL8a9Vf/
2pubeI/ZlOz+5h+L/RnxvHksh4vHCufW157W9Jt/9j9fvEb+VF9P/MHx8nfOkM9NwemPXw6OE7NF
5adUSFQZYrJm++rg+DUdhorqq4OjZmDVT7GtKrTkGO63gyMiU6LhKViM6SAs/kp3z+bY+rZq258b
QXsBfRUUo7zRGwuTUio6kSoC89/gqTGNU7PUV7lhX4VujkcvEr94MPF1xLoh8NTzfDS+4N24Qgjm
d9ATFMnboFmHL2isck6YCuei8HgMy6O6wwLexLPbbU/8Tv5c4LccTbDqqK/QSqJBmWc+Tfo4xy9u
bjTWEl3iIizS4zgs16RiHUaGdm6U+inyxVVXiHPhKqcYGqqGd4fn2HLI7QXNhEtLyi9HjI2nDVn4
gHYEBcf13RhfDh6h1wnxqD1MfdGdmLlFrlhyrOTiNBUIAzQxz+t0ayBqyMGx4kmDwnlhUN2rcQDa
t1xxhcRuXXYhigRBFIs/2V/p5Xp0O04EXnxee+Zaw1yW43U76SGuZKu8CQW3zJPFSnONQ1zFFnQG
74nHcYo8ORZhvPhx6a1MX9Kb0nv6Ek2CgYjNolH7vkM7UEVWPj71C5LMIVnT7cKXFEXUGZKFM7Nk
dfN9HEJGcyFxPGr5Zn58Afva/s0F7E+IBp1iA4IfXee3sygobIskxMBdgIGNOZwDqymXvUx10Q46
CU++eiZc9KmNO24xK//cpoF2DNtLOkwMLZiZs8dBq8vlCLdojmw/WJqKmyzcbDxGG7wmvDWaG9Q4
hzLoQTJykCI9MHHYCQmBwqylmlkdFZxmAyLjx0URpKPK0TZFT9w9AdLyAhnj/UCe36zrx3MOW6ux
CrAiVJVrltcNLjUnVthsUqI+jzKY75u/vvr9OYrg7/7WB5bJF7Ljd9dJFlzW35f1dpsFaX2VfbOY
/qlf+vFAf27h1WyV9ekNpre/pv2q/6Mh4h0WUs0DGn0VXgToF3MHRsX04lmJs9R7+W+L/5ahtolp
IeSNvro3v/fpf/zBvt2Lvh3nR1f+uN/W9uZXmm7x3Hzs09sH8HQVKApvPjWEYA2OpJBx4t2/nt/n
//6Hp6JK62kDx0U1/Rp53YNOf+ajvxvhqy8eYwNdtQCo4IruX29vgX3AtjltcS+3gHnxc33/Jm1E
Vfvw/FfhBbGZm4DB+9fb+W8qBzrcVizVXu7S/6uZ8LteGi/1EyjMn5kO74b5ajpYB1iz4c1mwA+e
Xu/ug3nALRB4ZCjPk+Wnuw/TdDDUj94GRZ+mvcrCCun+O0+FOJCx0rENlQjU6cW68XM9FQp1qcXK
RdX8sfmgHVCc0IqxKJ2nFyD2231BN4QCm/zlPlGL/2w3Qp1o5B+6CQpMQ0UWKqqL7z4UxoHC5snW
+XKPgEp/rpvAVJWfL+pd1fIXKgSULhb0QZsV8s0UMPUDGovCxBbn1xnyc316cuWtj04BVcM0yFJM
/at98KvnwLQOVAsGkEaI/f71000BtnD1o2WSYh9AtcVUdBIhTa93mwPPgWzZKCGe78HPtyqqtCo+
+hzQgdaxrYKM8N2CyRIHPCXwGeWXe/TTbQ1TO/7DN8E4gNCMXSx0t/3r3ZoAlZpJICPWeZ4KP91N
YMcyni/q76+IinIgs8/KdO7erojWAWo9WaVB9rNtBFwuii82qo/uiOYB5wHMgpV3H90+oIfJd6+/
rAH898+1GRBZKZ4v6u9/8aqBHzJoDQbLz6+36yDWczwZ06nqZ60HkIUpH5397IgWejcDId73lgDL
PLBNLCuoDv/yjvgnDti/YitzH4XqHnoJHquvYO4//IVXfOLbAV5whz24AKnjzS9OEPjz0M8IxPTv
f705Te2xka/+8xUr2b/Py5+/fMBv3/rNe71+qtcfroPHclfeIyLcgx8vlzl5m//n/4Gf5aMq3Za7
h8fKfwMRoGV5/fd3AfxfS+Mfjl9Vb6NzUdxMSpz9lfz9YUl/2ZWvw0w3/BnK+uiw61057NLd1wND
/Zpgog+PHCS7e38Xf/dOA+Fy8PzoWxztkqT55d92Sf4fv2x2lU8D7XXQ/ZTUqbRff/D37/xmV6Z0
gKK3N8nYH5Y++gk2zNP43cBiMuD86MDHu6jydw/d42P+Otj+lkxmna8/+Pu35GT34A/ff4aeTxAf
vfyzh4DLf73Q6cpfCtKPDrxtHpp7/7EshzeDEyGuvP7g79+WbZOGu7vXcfZX/Xyc/OhVX+zCHUZA
uzeI5kt1+tGxL4MoCt5kfUOwmuqxjw58tUuCGOX+Q/M61nRHXsrJjw7+qSY283tLy0vV8tHxrx+r
+pfZY+rt4jdX/1wOfHT0kx2LOQtW/Tad4uXk+dHRV4TJlrv66+v+Ffr98NjZm6fyVwzxo+OyK//K
mT4N7rM7vt3DKsb7oXr7ORSsHf6BRf2/yib9/e0Jwyhlz0L96Mc6CcasfFsOMPSkqv0HdlgCAfLf
zzf5YL3xfXb719/F/oPASH/92d9fNyd3j+mrfh1pv1PtLWdQFn94HfqxQPqDt+nk0aPG2Q1vnorn
DoP2DxSTzmPsB6+34LfbIv6B4ul3NQrPV7/nl3zw5vyhmdCHx/d3dR1U39gVvUD6/8Amtt9n8FJ/
Pztf3uEfqKWO2Ap+d/x/YApdPfJoee9r/N/QjY8ucX/Wa/6D3/X316O/o7b54YV877z5axP/21Po
a3P+e3/29og9/cZ9/Lgr//XfAAAA//8=</cx:binary>
              </cx:geoCache>
            </cx:geography>
          </cx:layoutPr>
        </cx:series>
      </cx:plotAreaRegion>
    </cx:plotArea>
  </cx:chart>
  <cx:spPr>
    <a:solidFill>
      <a:schemeClr val="bg1"/>
    </a:solidFill>
    <a:ln w="28575">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_xlchart.v1.24</cx:f>
      </cx:strDim>
      <cx:numDim type="size">
        <cx:f>_xlchart.v1.26</cx:f>
      </cx:numDim>
    </cx:data>
  </cx:chartData>
  <cx:chart>
    <cx:title pos="t" align="ctr" overlay="0">
      <cx:tx>
        <cx:rich>
          <a:bodyPr spcFirstLastPara="1" vertOverflow="ellipsis" horzOverflow="overflow" wrap="square" lIns="0" tIns="0" rIns="0" bIns="0" anchor="ctr" anchorCtr="1"/>
          <a:lstStyle/>
          <a:p>
            <a:pPr algn="ctr" rtl="0">
              <a:defRPr/>
            </a:pPr>
            <a:r>
              <a:rPr lang="en-IN"/>
              <a:t>Product Category Hierarchy</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00000000-68CE-4C0A-A957-5CF37904CE35}">
          <cx:tx>
            <cx:txData>
              <cx:f>_xlchart.v1.25</cx:f>
              <cx:v>Sum Of Total Sales</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3.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hyperlink" Target="#' PRODUCT PERFORMANCE DASHBOARD '!A1"/><Relationship Id="rId3" Type="http://schemas.openxmlformats.org/officeDocument/2006/relationships/chart" Target="../charts/chart19.xml"/><Relationship Id="rId7" Type="http://schemas.microsoft.com/office/2014/relationships/chartEx" Target="../charts/chartEx5.xml"/><Relationship Id="rId2" Type="http://schemas.openxmlformats.org/officeDocument/2006/relationships/chart" Target="../charts/chart18.xml"/><Relationship Id="rId1" Type="http://schemas.openxmlformats.org/officeDocument/2006/relationships/chart" Target="../charts/chart17.xml"/><Relationship Id="rId6" Type="http://schemas.microsoft.com/office/2014/relationships/chartEx" Target="../charts/chartEx4.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4.xml"/><Relationship Id="rId7" Type="http://schemas.openxmlformats.org/officeDocument/2006/relationships/hyperlink" Target="#'REGIONAL BUSINESS DASHBOARD'!A1"/><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6.xml"/><Relationship Id="rId5" Type="http://schemas.microsoft.com/office/2014/relationships/chartEx" Target="../charts/chartEx6.xml"/><Relationship Id="rId4" Type="http://schemas.openxmlformats.org/officeDocument/2006/relationships/chart" Target="../charts/chart2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Relationship Id="rId7" Type="http://schemas.openxmlformats.org/officeDocument/2006/relationships/image" Target="../media/image3.png"/><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2</xdr:col>
      <xdr:colOff>150395</xdr:colOff>
      <xdr:row>2</xdr:row>
      <xdr:rowOff>33890</xdr:rowOff>
    </xdr:from>
    <xdr:to>
      <xdr:col>8</xdr:col>
      <xdr:colOff>344905</xdr:colOff>
      <xdr:row>13</xdr:row>
      <xdr:rowOff>0</xdr:rowOff>
    </xdr:to>
    <xdr:graphicFrame macro="">
      <xdr:nvGraphicFramePr>
        <xdr:cNvPr id="2" name="Chart 1">
          <a:extLst>
            <a:ext uri="{FF2B5EF4-FFF2-40B4-BE49-F238E27FC236}">
              <a16:creationId xmlns:a16="http://schemas.microsoft.com/office/drawing/2014/main" id="{3D2683B9-2E98-ADC8-C6B1-02AFA0003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240632</xdr:colOff>
      <xdr:row>20</xdr:row>
      <xdr:rowOff>112294</xdr:rowOff>
    </xdr:from>
    <xdr:to>
      <xdr:col>7</xdr:col>
      <xdr:colOff>513347</xdr:colOff>
      <xdr:row>30</xdr:row>
      <xdr:rowOff>112295</xdr:rowOff>
    </xdr:to>
    <xdr:graphicFrame macro="">
      <xdr:nvGraphicFramePr>
        <xdr:cNvPr id="3" name="Chart 2">
          <a:extLst>
            <a:ext uri="{FF2B5EF4-FFF2-40B4-BE49-F238E27FC236}">
              <a16:creationId xmlns:a16="http://schemas.microsoft.com/office/drawing/2014/main" id="{1223CEDA-A989-F172-8A6B-928C47F52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264695</xdr:colOff>
      <xdr:row>37</xdr:row>
      <xdr:rowOff>64167</xdr:rowOff>
    </xdr:from>
    <xdr:to>
      <xdr:col>10</xdr:col>
      <xdr:colOff>56147</xdr:colOff>
      <xdr:row>49</xdr:row>
      <xdr:rowOff>24062</xdr:rowOff>
    </xdr:to>
    <xdr:graphicFrame macro="">
      <xdr:nvGraphicFramePr>
        <xdr:cNvPr id="4" name="Chart 3">
          <a:extLst>
            <a:ext uri="{FF2B5EF4-FFF2-40B4-BE49-F238E27FC236}">
              <a16:creationId xmlns:a16="http://schemas.microsoft.com/office/drawing/2014/main" id="{FCEB805D-DDC7-AF94-E22B-EFA8BF4BB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128337</xdr:colOff>
      <xdr:row>50</xdr:row>
      <xdr:rowOff>8022</xdr:rowOff>
    </xdr:from>
    <xdr:to>
      <xdr:col>7</xdr:col>
      <xdr:colOff>192506</xdr:colOff>
      <xdr:row>61</xdr:row>
      <xdr:rowOff>72190</xdr:rowOff>
    </xdr:to>
    <xdr:graphicFrame macro="">
      <xdr:nvGraphicFramePr>
        <xdr:cNvPr id="5" name="Chart 4">
          <a:extLst>
            <a:ext uri="{FF2B5EF4-FFF2-40B4-BE49-F238E27FC236}">
              <a16:creationId xmlns:a16="http://schemas.microsoft.com/office/drawing/2014/main" id="{13EAF1C8-24CF-9F95-FA09-8BC66A25C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296778</xdr:colOff>
      <xdr:row>64</xdr:row>
      <xdr:rowOff>56148</xdr:rowOff>
    </xdr:from>
    <xdr:to>
      <xdr:col>12</xdr:col>
      <xdr:colOff>304799</xdr:colOff>
      <xdr:row>79</xdr:row>
      <xdr:rowOff>32084</xdr:rowOff>
    </xdr:to>
    <xdr:graphicFrame macro="">
      <xdr:nvGraphicFramePr>
        <xdr:cNvPr id="6" name="Chart 5">
          <a:extLst>
            <a:ext uri="{FF2B5EF4-FFF2-40B4-BE49-F238E27FC236}">
              <a16:creationId xmlns:a16="http://schemas.microsoft.com/office/drawing/2014/main" id="{7FA22B9C-0D77-06D3-27F4-2BF951354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216568</xdr:colOff>
      <xdr:row>97</xdr:row>
      <xdr:rowOff>176464</xdr:rowOff>
    </xdr:from>
    <xdr:to>
      <xdr:col>10</xdr:col>
      <xdr:colOff>521368</xdr:colOff>
      <xdr:row>112</xdr:row>
      <xdr:rowOff>152400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E7FCA246-81A6-CD2B-5AA3-33FAC829DA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356008" y="17915824"/>
              <a:ext cx="5097780" cy="27191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232610</xdr:colOff>
      <xdr:row>116</xdr:row>
      <xdr:rowOff>136358</xdr:rowOff>
    </xdr:from>
    <xdr:to>
      <xdr:col>12</xdr:col>
      <xdr:colOff>537410</xdr:colOff>
      <xdr:row>131</xdr:row>
      <xdr:rowOff>112294</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720C0EB3-1C4D-7366-720B-164293474C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117030" y="21350438"/>
              <a:ext cx="5486400" cy="27191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180073</xdr:colOff>
      <xdr:row>13</xdr:row>
      <xdr:rowOff>162426</xdr:rowOff>
    </xdr:from>
    <xdr:to>
      <xdr:col>10</xdr:col>
      <xdr:colOff>789673</xdr:colOff>
      <xdr:row>21</xdr:row>
      <xdr:rowOff>96253</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C8F328E-C431-53FA-BC23-9BCBB1F6FE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93694" y="256072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1053164</xdr:colOff>
      <xdr:row>10</xdr:row>
      <xdr:rowOff>8824</xdr:rowOff>
    </xdr:from>
    <xdr:to>
      <xdr:col>12</xdr:col>
      <xdr:colOff>748364</xdr:colOff>
      <xdr:row>23</xdr:row>
      <xdr:rowOff>77504</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3A7FA973-D261-12AC-7B26-375C55DACCF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985985" y="185366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129540</xdr:colOff>
      <xdr:row>16</xdr:row>
      <xdr:rowOff>63769</xdr:rowOff>
    </xdr:from>
    <xdr:to>
      <xdr:col>15</xdr:col>
      <xdr:colOff>33287</xdr:colOff>
      <xdr:row>23</xdr:row>
      <xdr:rowOff>136359</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A3A50644-7A0F-E615-EC6A-CA8D2868284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014108" y="3015516"/>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160421</xdr:colOff>
      <xdr:row>9</xdr:row>
      <xdr:rowOff>46523</xdr:rowOff>
    </xdr:from>
    <xdr:to>
      <xdr:col>15</xdr:col>
      <xdr:colOff>64168</xdr:colOff>
      <xdr:row>15</xdr:row>
      <xdr:rowOff>80212</xdr:rowOff>
    </xdr:to>
    <mc:AlternateContent xmlns:mc="http://schemas.openxmlformats.org/markup-compatibility/2006" xmlns:a14="http://schemas.microsoft.com/office/drawing/2010/main">
      <mc:Choice Requires="a14">
        <xdr:graphicFrame macro="">
          <xdr:nvGraphicFramePr>
            <xdr:cNvPr id="14" name="Sales_Channel">
              <a:extLst>
                <a:ext uri="{FF2B5EF4-FFF2-40B4-BE49-F238E27FC236}">
                  <a16:creationId xmlns:a16="http://schemas.microsoft.com/office/drawing/2014/main" id="{FC28AC18-805E-12A8-55FE-6F80208602DE}"/>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1044989" y="1706881"/>
              <a:ext cx="1828800" cy="1140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327660</xdr:colOff>
      <xdr:row>8</xdr:row>
      <xdr:rowOff>173656</xdr:rowOff>
    </xdr:from>
    <xdr:to>
      <xdr:col>18</xdr:col>
      <xdr:colOff>327660</xdr:colOff>
      <xdr:row>22</xdr:row>
      <xdr:rowOff>57852</xdr:rowOff>
    </xdr:to>
    <mc:AlternateContent xmlns:mc="http://schemas.openxmlformats.org/markup-compatibility/2006" xmlns:a14="http://schemas.microsoft.com/office/drawing/2010/main">
      <mc:Choice Requires="a14">
        <xdr:graphicFrame macro="">
          <xdr:nvGraphicFramePr>
            <xdr:cNvPr id="15" name="Months (Order_Date)">
              <a:extLst>
                <a:ext uri="{FF2B5EF4-FFF2-40B4-BE49-F238E27FC236}">
                  <a16:creationId xmlns:a16="http://schemas.microsoft.com/office/drawing/2014/main" id="{47A1A931-3D76-3C7D-69BB-12903E456463}"/>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3137281" y="16495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152400</xdr:colOff>
      <xdr:row>18</xdr:row>
      <xdr:rowOff>11430</xdr:rowOff>
    </xdr:from>
    <xdr:to>
      <xdr:col>11</xdr:col>
      <xdr:colOff>175260</xdr:colOff>
      <xdr:row>28</xdr:row>
      <xdr:rowOff>38100</xdr:rowOff>
    </xdr:to>
    <xdr:graphicFrame macro="">
      <xdr:nvGraphicFramePr>
        <xdr:cNvPr id="2" name="Chart 1">
          <a:extLst>
            <a:ext uri="{FF2B5EF4-FFF2-40B4-BE49-F238E27FC236}">
              <a16:creationId xmlns:a16="http://schemas.microsoft.com/office/drawing/2014/main" id="{0CE09F2B-EBA5-6A3E-722F-C881666D5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29</xdr:row>
      <xdr:rowOff>102870</xdr:rowOff>
    </xdr:from>
    <xdr:to>
      <xdr:col>8</xdr:col>
      <xdr:colOff>0</xdr:colOff>
      <xdr:row>39</xdr:row>
      <xdr:rowOff>144780</xdr:rowOff>
    </xdr:to>
    <xdr:graphicFrame macro="">
      <xdr:nvGraphicFramePr>
        <xdr:cNvPr id="3" name="Chart 2">
          <a:extLst>
            <a:ext uri="{FF2B5EF4-FFF2-40B4-BE49-F238E27FC236}">
              <a16:creationId xmlns:a16="http://schemas.microsoft.com/office/drawing/2014/main" id="{0897D921-56BA-273A-906D-9D2D34D11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45</xdr:row>
      <xdr:rowOff>80010</xdr:rowOff>
    </xdr:from>
    <xdr:to>
      <xdr:col>7</xdr:col>
      <xdr:colOff>541020</xdr:colOff>
      <xdr:row>55</xdr:row>
      <xdr:rowOff>160020</xdr:rowOff>
    </xdr:to>
    <xdr:graphicFrame macro="">
      <xdr:nvGraphicFramePr>
        <xdr:cNvPr id="4" name="Chart 3">
          <a:extLst>
            <a:ext uri="{FF2B5EF4-FFF2-40B4-BE49-F238E27FC236}">
              <a16:creationId xmlns:a16="http://schemas.microsoft.com/office/drawing/2014/main" id="{4D5659B9-9788-C200-1224-06E275F13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243840</xdr:colOff>
      <xdr:row>60</xdr:row>
      <xdr:rowOff>152400</xdr:rowOff>
    </xdr:from>
    <xdr:to>
      <xdr:col>7</xdr:col>
      <xdr:colOff>419100</xdr:colOff>
      <xdr:row>69</xdr:row>
      <xdr:rowOff>114300</xdr:rowOff>
    </xdr:to>
    <xdr:graphicFrame macro="">
      <xdr:nvGraphicFramePr>
        <xdr:cNvPr id="5" name="Chart 4">
          <a:extLst>
            <a:ext uri="{FF2B5EF4-FFF2-40B4-BE49-F238E27FC236}">
              <a16:creationId xmlns:a16="http://schemas.microsoft.com/office/drawing/2014/main" id="{B62D2B67-F40C-0343-EF02-14D90276A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114300</xdr:colOff>
      <xdr:row>72</xdr:row>
      <xdr:rowOff>118110</xdr:rowOff>
    </xdr:from>
    <xdr:to>
      <xdr:col>8</xdr:col>
      <xdr:colOff>281940</xdr:colOff>
      <xdr:row>83</xdr:row>
      <xdr:rowOff>7620</xdr:rowOff>
    </xdr:to>
    <xdr:graphicFrame macro="">
      <xdr:nvGraphicFramePr>
        <xdr:cNvPr id="6" name="Chart 5">
          <a:extLst>
            <a:ext uri="{FF2B5EF4-FFF2-40B4-BE49-F238E27FC236}">
              <a16:creationId xmlns:a16="http://schemas.microsoft.com/office/drawing/2014/main" id="{10389ED5-35EC-149D-91BE-3BE5F7095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190500</xdr:colOff>
      <xdr:row>93</xdr:row>
      <xdr:rowOff>137160</xdr:rowOff>
    </xdr:from>
    <xdr:to>
      <xdr:col>9</xdr:col>
      <xdr:colOff>7620</xdr:colOff>
      <xdr:row>103</xdr:row>
      <xdr:rowOff>41910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45F00E2-C2F0-78B3-4F7E-7DD8DA7F95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00600" y="17145000"/>
              <a:ext cx="3147060" cy="1733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1638300</xdr:colOff>
      <xdr:row>41</xdr:row>
      <xdr:rowOff>45721</xdr:rowOff>
    </xdr:from>
    <xdr:to>
      <xdr:col>9</xdr:col>
      <xdr:colOff>38100</xdr:colOff>
      <xdr:row>48</xdr:row>
      <xdr:rowOff>60961</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84E6CD69-D17E-30D2-7E39-09E8AB9990E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252460" y="7543801"/>
              <a:ext cx="181356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36</xdr:row>
      <xdr:rowOff>76201</xdr:rowOff>
    </xdr:from>
    <xdr:to>
      <xdr:col>12</xdr:col>
      <xdr:colOff>167640</xdr:colOff>
      <xdr:row>42</xdr:row>
      <xdr:rowOff>99061</xdr:rowOff>
    </xdr:to>
    <mc:AlternateContent xmlns:mc="http://schemas.openxmlformats.org/markup-compatibility/2006">
      <mc:Choice xmlns:a14="http://schemas.microsoft.com/office/drawing/2010/main" Requires="a14">
        <xdr:graphicFrame macro="">
          <xdr:nvGraphicFramePr>
            <xdr:cNvPr id="9" name="State 2">
              <a:extLst>
                <a:ext uri="{FF2B5EF4-FFF2-40B4-BE49-F238E27FC236}">
                  <a16:creationId xmlns:a16="http://schemas.microsoft.com/office/drawing/2014/main" id="{3663110E-BEC5-0985-453D-850E7522C50C}"/>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0111740" y="6659881"/>
              <a:ext cx="191262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251460</xdr:colOff>
      <xdr:row>34</xdr:row>
      <xdr:rowOff>175261</xdr:rowOff>
    </xdr:from>
    <xdr:to>
      <xdr:col>15</xdr:col>
      <xdr:colOff>289560</xdr:colOff>
      <xdr:row>42</xdr:row>
      <xdr:rowOff>7621</xdr:rowOff>
    </xdr:to>
    <mc:AlternateContent xmlns:mc="http://schemas.openxmlformats.org/markup-compatibility/2006">
      <mc:Choice xmlns:a14="http://schemas.microsoft.com/office/drawing/2010/main" Requires="a14">
        <xdr:graphicFrame macro="">
          <xdr:nvGraphicFramePr>
            <xdr:cNvPr id="10" name="Product_Category 2">
              <a:extLst>
                <a:ext uri="{FF2B5EF4-FFF2-40B4-BE49-F238E27FC236}">
                  <a16:creationId xmlns:a16="http://schemas.microsoft.com/office/drawing/2014/main" id="{F11D9053-A747-4B16-2681-BDE2A552DB6D}"/>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dr:sp macro="" textlink="">
          <xdr:nvSpPr>
            <xdr:cNvPr id="0" name=""/>
            <xdr:cNvSpPr>
              <a:spLocks noTextEdit="1"/>
            </xdr:cNvSpPr>
          </xdr:nvSpPr>
          <xdr:spPr>
            <a:xfrm>
              <a:off x="12108180" y="6393181"/>
              <a:ext cx="18669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1531620</xdr:colOff>
      <xdr:row>28</xdr:row>
      <xdr:rowOff>121921</xdr:rowOff>
    </xdr:from>
    <xdr:to>
      <xdr:col>12</xdr:col>
      <xdr:colOff>30480</xdr:colOff>
      <xdr:row>36</xdr:row>
      <xdr:rowOff>15241</xdr:rowOff>
    </xdr:to>
    <mc:AlternateContent xmlns:mc="http://schemas.openxmlformats.org/markup-compatibility/2006">
      <mc:Choice xmlns:a14="http://schemas.microsoft.com/office/drawing/2010/main" Requires="a14">
        <xdr:graphicFrame macro="">
          <xdr:nvGraphicFramePr>
            <xdr:cNvPr id="11" name="Product_Name">
              <a:extLst>
                <a:ext uri="{FF2B5EF4-FFF2-40B4-BE49-F238E27FC236}">
                  <a16:creationId xmlns:a16="http://schemas.microsoft.com/office/drawing/2014/main" id="{FCB3C22D-2E9E-FBD5-8A36-17262BA09A0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9997440" y="5242561"/>
              <a:ext cx="188976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205740</xdr:colOff>
      <xdr:row>28</xdr:row>
      <xdr:rowOff>1</xdr:rowOff>
    </xdr:from>
    <xdr:to>
      <xdr:col>15</xdr:col>
      <xdr:colOff>205740</xdr:colOff>
      <xdr:row>34</xdr:row>
      <xdr:rowOff>99061</xdr:rowOff>
    </xdr:to>
    <mc:AlternateContent xmlns:mc="http://schemas.openxmlformats.org/markup-compatibility/2006">
      <mc:Choice xmlns:a14="http://schemas.microsoft.com/office/drawing/2010/main" Requires="a14">
        <xdr:graphicFrame macro="">
          <xdr:nvGraphicFramePr>
            <xdr:cNvPr id="12" name="Sales_Channel 2">
              <a:extLst>
                <a:ext uri="{FF2B5EF4-FFF2-40B4-BE49-F238E27FC236}">
                  <a16:creationId xmlns:a16="http://schemas.microsoft.com/office/drawing/2014/main" id="{EF42D87D-838F-2421-8388-39172CB81B38}"/>
                </a:ext>
              </a:extLst>
            </xdr:cNvPr>
            <xdr:cNvGraphicFramePr/>
          </xdr:nvGraphicFramePr>
          <xdr:xfrm>
            <a:off x="0" y="0"/>
            <a:ext cx="0" cy="0"/>
          </xdr:xfrm>
          <a:graphic>
            <a:graphicData uri="http://schemas.microsoft.com/office/drawing/2010/slicer">
              <sle:slicer xmlns:sle="http://schemas.microsoft.com/office/drawing/2010/slicer" name="Sales_Channel 2"/>
            </a:graphicData>
          </a:graphic>
        </xdr:graphicFrame>
      </mc:Choice>
      <mc:Fallback>
        <xdr:sp macro="" textlink="">
          <xdr:nvSpPr>
            <xdr:cNvPr id="0" name=""/>
            <xdr:cNvSpPr>
              <a:spLocks noTextEdit="1"/>
            </xdr:cNvSpPr>
          </xdr:nvSpPr>
          <xdr:spPr>
            <a:xfrm>
              <a:off x="12062460" y="512064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220980</xdr:colOff>
      <xdr:row>16</xdr:row>
      <xdr:rowOff>49530</xdr:rowOff>
    </xdr:from>
    <xdr:to>
      <xdr:col>8</xdr:col>
      <xdr:colOff>213360</xdr:colOff>
      <xdr:row>25</xdr:row>
      <xdr:rowOff>121920</xdr:rowOff>
    </xdr:to>
    <xdr:graphicFrame macro="">
      <xdr:nvGraphicFramePr>
        <xdr:cNvPr id="2" name="Chart 1">
          <a:extLst>
            <a:ext uri="{FF2B5EF4-FFF2-40B4-BE49-F238E27FC236}">
              <a16:creationId xmlns:a16="http://schemas.microsoft.com/office/drawing/2014/main" id="{C8B571A0-A92A-02C1-727A-1DF3F980C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213360</xdr:colOff>
      <xdr:row>26</xdr:row>
      <xdr:rowOff>80010</xdr:rowOff>
    </xdr:from>
    <xdr:to>
      <xdr:col>8</xdr:col>
      <xdr:colOff>167640</xdr:colOff>
      <xdr:row>38</xdr:row>
      <xdr:rowOff>30480</xdr:rowOff>
    </xdr:to>
    <xdr:graphicFrame macro="">
      <xdr:nvGraphicFramePr>
        <xdr:cNvPr id="3" name="Chart 2">
          <a:extLst>
            <a:ext uri="{FF2B5EF4-FFF2-40B4-BE49-F238E27FC236}">
              <a16:creationId xmlns:a16="http://schemas.microsoft.com/office/drawing/2014/main" id="{2762740D-C0D5-6C01-3592-6DD8F8A94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205740</xdr:colOff>
      <xdr:row>40</xdr:row>
      <xdr:rowOff>19050</xdr:rowOff>
    </xdr:from>
    <xdr:to>
      <xdr:col>14</xdr:col>
      <xdr:colOff>68580</xdr:colOff>
      <xdr:row>51</xdr:row>
      <xdr:rowOff>68580</xdr:rowOff>
    </xdr:to>
    <xdr:graphicFrame macro="">
      <xdr:nvGraphicFramePr>
        <xdr:cNvPr id="4" name="Chart 3">
          <a:extLst>
            <a:ext uri="{FF2B5EF4-FFF2-40B4-BE49-F238E27FC236}">
              <a16:creationId xmlns:a16="http://schemas.microsoft.com/office/drawing/2014/main" id="{A51693E4-6198-15C6-CE58-68E136AB1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411480</xdr:colOff>
      <xdr:row>57</xdr:row>
      <xdr:rowOff>133350</xdr:rowOff>
    </xdr:from>
    <xdr:to>
      <xdr:col>9</xdr:col>
      <xdr:colOff>434340</xdr:colOff>
      <xdr:row>69</xdr:row>
      <xdr:rowOff>106680</xdr:rowOff>
    </xdr:to>
    <xdr:graphicFrame macro="">
      <xdr:nvGraphicFramePr>
        <xdr:cNvPr id="6" name="Chart 5">
          <a:extLst>
            <a:ext uri="{FF2B5EF4-FFF2-40B4-BE49-F238E27FC236}">
              <a16:creationId xmlns:a16="http://schemas.microsoft.com/office/drawing/2014/main" id="{377D160F-F2EC-3713-1064-29A923AA2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175260</xdr:colOff>
      <xdr:row>75</xdr:row>
      <xdr:rowOff>102870</xdr:rowOff>
    </xdr:from>
    <xdr:to>
      <xdr:col>11</xdr:col>
      <xdr:colOff>464820</xdr:colOff>
      <xdr:row>87</xdr:row>
      <xdr:rowOff>144780</xdr:rowOff>
    </xdr:to>
    <xdr:graphicFrame macro="">
      <xdr:nvGraphicFramePr>
        <xdr:cNvPr id="7" name="Chart 6">
          <a:extLst>
            <a:ext uri="{FF2B5EF4-FFF2-40B4-BE49-F238E27FC236}">
              <a16:creationId xmlns:a16="http://schemas.microsoft.com/office/drawing/2014/main" id="{7F28494B-B545-41F3-D517-3FB1CCCE2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236220</xdr:colOff>
      <xdr:row>93</xdr:row>
      <xdr:rowOff>64770</xdr:rowOff>
    </xdr:from>
    <xdr:to>
      <xdr:col>7</xdr:col>
      <xdr:colOff>510540</xdr:colOff>
      <xdr:row>104</xdr:row>
      <xdr:rowOff>30480</xdr:rowOff>
    </xdr:to>
    <xdr:graphicFrame macro="">
      <xdr:nvGraphicFramePr>
        <xdr:cNvPr id="8" name="Chart 7">
          <a:extLst>
            <a:ext uri="{FF2B5EF4-FFF2-40B4-BE49-F238E27FC236}">
              <a16:creationId xmlns:a16="http://schemas.microsoft.com/office/drawing/2014/main" id="{EE0A6945-2E15-3D9E-2728-9D45B73D5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556260</xdr:colOff>
      <xdr:row>7</xdr:row>
      <xdr:rowOff>1</xdr:rowOff>
    </xdr:from>
    <xdr:to>
      <xdr:col>16</xdr:col>
      <xdr:colOff>556260</xdr:colOff>
      <xdr:row>16</xdr:row>
      <xdr:rowOff>76201</xdr:rowOff>
    </xdr:to>
    <mc:AlternateContent xmlns:mc="http://schemas.openxmlformats.org/markup-compatibility/2006">
      <mc:Choice xmlns:a14="http://schemas.microsoft.com/office/drawing/2010/main" Requires="a14">
        <xdr:graphicFrame macro="">
          <xdr:nvGraphicFramePr>
            <xdr:cNvPr id="9" name="Region 4">
              <a:extLst>
                <a:ext uri="{FF2B5EF4-FFF2-40B4-BE49-F238E27FC236}">
                  <a16:creationId xmlns:a16="http://schemas.microsoft.com/office/drawing/2014/main" id="{E0129E9A-96C3-ED76-67BB-3917CE50E57B}"/>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11650980" y="128016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23</xdr:row>
      <xdr:rowOff>22861</xdr:rowOff>
    </xdr:from>
    <xdr:to>
      <xdr:col>14</xdr:col>
      <xdr:colOff>7620</xdr:colOff>
      <xdr:row>28</xdr:row>
      <xdr:rowOff>7621</xdr:rowOff>
    </xdr:to>
    <mc:AlternateContent xmlns:mc="http://schemas.openxmlformats.org/markup-compatibility/2006">
      <mc:Choice xmlns:a14="http://schemas.microsoft.com/office/drawing/2010/main" Requires="a14">
        <xdr:graphicFrame macro="">
          <xdr:nvGraphicFramePr>
            <xdr:cNvPr id="10" name="State 4">
              <a:extLst>
                <a:ext uri="{FF2B5EF4-FFF2-40B4-BE49-F238E27FC236}">
                  <a16:creationId xmlns:a16="http://schemas.microsoft.com/office/drawing/2014/main" id="{A81D7999-0DD6-2BA1-247E-1F96B561F67D}"/>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dr:sp macro="" textlink="">
          <xdr:nvSpPr>
            <xdr:cNvPr id="0" name=""/>
            <xdr:cNvSpPr>
              <a:spLocks noTextEdit="1"/>
            </xdr:cNvSpPr>
          </xdr:nvSpPr>
          <xdr:spPr>
            <a:xfrm>
              <a:off x="9883140" y="422910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1371600</xdr:colOff>
      <xdr:row>9</xdr:row>
      <xdr:rowOff>99061</xdr:rowOff>
    </xdr:from>
    <xdr:to>
      <xdr:col>9</xdr:col>
      <xdr:colOff>396240</xdr:colOff>
      <xdr:row>18</xdr:row>
      <xdr:rowOff>1</xdr:rowOff>
    </xdr:to>
    <mc:AlternateContent xmlns:mc="http://schemas.openxmlformats.org/markup-compatibility/2006">
      <mc:Choice xmlns:a14="http://schemas.microsoft.com/office/drawing/2010/main" Requires="a14">
        <xdr:graphicFrame macro="">
          <xdr:nvGraphicFramePr>
            <xdr:cNvPr id="11" name="Product_Category 4">
              <a:extLst>
                <a:ext uri="{FF2B5EF4-FFF2-40B4-BE49-F238E27FC236}">
                  <a16:creationId xmlns:a16="http://schemas.microsoft.com/office/drawing/2014/main" id="{258F0A2A-2D69-6C43-D84D-D379B47EE49F}"/>
                </a:ext>
              </a:extLst>
            </xdr:cNvPr>
            <xdr:cNvGraphicFramePr/>
          </xdr:nvGraphicFramePr>
          <xdr:xfrm>
            <a:off x="0" y="0"/>
            <a:ext cx="0" cy="0"/>
          </xdr:xfrm>
          <a:graphic>
            <a:graphicData uri="http://schemas.microsoft.com/office/drawing/2010/slicer">
              <sle:slicer xmlns:sle="http://schemas.microsoft.com/office/drawing/2010/slicer" name="Product_Category 4"/>
            </a:graphicData>
          </a:graphic>
        </xdr:graphicFrame>
      </mc:Choice>
      <mc:Fallback>
        <xdr:sp macro="" textlink="">
          <xdr:nvSpPr>
            <xdr:cNvPr id="0" name=""/>
            <xdr:cNvSpPr>
              <a:spLocks noTextEdit="1"/>
            </xdr:cNvSpPr>
          </xdr:nvSpPr>
          <xdr:spPr>
            <a:xfrm>
              <a:off x="7223760" y="174498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14</xdr:row>
      <xdr:rowOff>76201</xdr:rowOff>
    </xdr:from>
    <xdr:to>
      <xdr:col>13</xdr:col>
      <xdr:colOff>449580</xdr:colOff>
      <xdr:row>22</xdr:row>
      <xdr:rowOff>1</xdr:rowOff>
    </xdr:to>
    <mc:AlternateContent xmlns:mc="http://schemas.openxmlformats.org/markup-compatibility/2006">
      <mc:Choice xmlns:a14="http://schemas.microsoft.com/office/drawing/2010/main" Requires="a14">
        <xdr:graphicFrame macro="">
          <xdr:nvGraphicFramePr>
            <xdr:cNvPr id="12" name="Sales_Channel 4">
              <a:extLst>
                <a:ext uri="{FF2B5EF4-FFF2-40B4-BE49-F238E27FC236}">
                  <a16:creationId xmlns:a16="http://schemas.microsoft.com/office/drawing/2014/main" id="{BD189C69-3B32-09DB-C060-A1519A9D12DC}"/>
                </a:ext>
              </a:extLst>
            </xdr:cNvPr>
            <xdr:cNvGraphicFramePr/>
          </xdr:nvGraphicFramePr>
          <xdr:xfrm>
            <a:off x="0" y="0"/>
            <a:ext cx="0" cy="0"/>
          </xdr:xfrm>
          <a:graphic>
            <a:graphicData uri="http://schemas.microsoft.com/office/drawing/2010/slicer">
              <sle:slicer xmlns:sle="http://schemas.microsoft.com/office/drawing/2010/slicer" name="Sales_Channel 4"/>
            </a:graphicData>
          </a:graphic>
        </xdr:graphicFrame>
      </mc:Choice>
      <mc:Fallback>
        <xdr:sp macro="" textlink="">
          <xdr:nvSpPr>
            <xdr:cNvPr id="0" name=""/>
            <xdr:cNvSpPr>
              <a:spLocks noTextEdit="1"/>
            </xdr:cNvSpPr>
          </xdr:nvSpPr>
          <xdr:spPr>
            <a:xfrm>
              <a:off x="9342120" y="2636521"/>
              <a:ext cx="22021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xdr:colOff>
      <xdr:row>8</xdr:row>
      <xdr:rowOff>91441</xdr:rowOff>
    </xdr:from>
    <xdr:to>
      <xdr:col>13</xdr:col>
      <xdr:colOff>434340</xdr:colOff>
      <xdr:row>13</xdr:row>
      <xdr:rowOff>76201</xdr:rowOff>
    </xdr:to>
    <mc:AlternateContent xmlns:mc="http://schemas.openxmlformats.org/markup-compatibility/2006">
      <mc:Choice xmlns:a14="http://schemas.microsoft.com/office/drawing/2010/main" Requires="a14">
        <xdr:graphicFrame macro="">
          <xdr:nvGraphicFramePr>
            <xdr:cNvPr id="13" name="Years (Order_Date)">
              <a:extLst>
                <a:ext uri="{FF2B5EF4-FFF2-40B4-BE49-F238E27FC236}">
                  <a16:creationId xmlns:a16="http://schemas.microsoft.com/office/drawing/2014/main" id="{E25B2D2C-6C22-A2D3-EA1D-4B2775EC75E1}"/>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9319260" y="1554481"/>
              <a:ext cx="2209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537919</xdr:colOff>
      <xdr:row>1</xdr:row>
      <xdr:rowOff>154302</xdr:rowOff>
    </xdr:from>
    <xdr:to>
      <xdr:col>36</xdr:col>
      <xdr:colOff>149902</xdr:colOff>
      <xdr:row>6</xdr:row>
      <xdr:rowOff>103503</xdr:rowOff>
    </xdr:to>
    <xdr:sp macro="" textlink="">
      <xdr:nvSpPr>
        <xdr:cNvPr id="2" name="Rectangle: Rounded Corners 1">
          <a:extLst>
            <a:ext uri="{FF2B5EF4-FFF2-40B4-BE49-F238E27FC236}">
              <a16:creationId xmlns:a16="http://schemas.microsoft.com/office/drawing/2014/main" id="{12B2DCDC-403F-74E2-8EA8-426F81C3F03D}"/>
            </a:ext>
          </a:extLst>
        </xdr:cNvPr>
        <xdr:cNvSpPr/>
      </xdr:nvSpPr>
      <xdr:spPr>
        <a:xfrm>
          <a:off x="1150017" y="341679"/>
          <a:ext cx="21035426" cy="88608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RELIANCE  INDUSTRIES  SALES  PERFORMANCE </a:t>
          </a:r>
        </a:p>
      </xdr:txBody>
    </xdr:sp>
    <xdr:clientData/>
  </xdr:twoCellAnchor>
  <xdr:twoCellAnchor>
    <xdr:from>
      <xdr:col>3</xdr:col>
      <xdr:colOff>201330</xdr:colOff>
      <xdr:row>8</xdr:row>
      <xdr:rowOff>54152</xdr:rowOff>
    </xdr:from>
    <xdr:to>
      <xdr:col>8</xdr:col>
      <xdr:colOff>599606</xdr:colOff>
      <xdr:row>14</xdr:row>
      <xdr:rowOff>25930</xdr:rowOff>
    </xdr:to>
    <xdr:sp macro="" textlink="Dashboard1PivotTables!K6">
      <xdr:nvSpPr>
        <xdr:cNvPr id="6" name="Rectangle: Rounded Corners 5">
          <a:extLst>
            <a:ext uri="{FF2B5EF4-FFF2-40B4-BE49-F238E27FC236}">
              <a16:creationId xmlns:a16="http://schemas.microsoft.com/office/drawing/2014/main" id="{CCDC83F6-446E-4E10-03F0-24E3131F40F3}"/>
            </a:ext>
          </a:extLst>
        </xdr:cNvPr>
        <xdr:cNvSpPr/>
      </xdr:nvSpPr>
      <xdr:spPr>
        <a:xfrm>
          <a:off x="2037625" y="1553168"/>
          <a:ext cx="3458768" cy="1096041"/>
        </a:xfrm>
        <a:prstGeom prst="roundRect">
          <a:avLst/>
        </a:prstGeom>
        <a:solidFill>
          <a:schemeClr val="bg1"/>
        </a:solidFill>
        <a:effectLst>
          <a:outerShdw blurRad="88900" dist="50800" dir="5400000" sx="107000" sy="107000" algn="ctr" rotWithShape="0">
            <a:srgbClr val="000000">
              <a:alpha val="99000"/>
            </a:srgbClr>
          </a:outerShdw>
          <a:reflection stA="99000" endPos="2000" dist="508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t>💰</a:t>
          </a:r>
          <a:r>
            <a:rPr lang="en-US" sz="1600" b="1" i="0" u="none" strike="noStrike">
              <a:solidFill>
                <a:srgbClr val="000000"/>
              </a:solidFill>
              <a:latin typeface="Calibri"/>
              <a:ea typeface="Calibri"/>
              <a:cs typeface="Calibri"/>
            </a:rPr>
            <a:t>Total Sales</a:t>
          </a:r>
        </a:p>
        <a:p>
          <a:pPr algn="ctr"/>
          <a:endParaRPr lang="en-US" sz="1600" b="1" i="0" u="none" strike="noStrike">
            <a:solidFill>
              <a:srgbClr val="000000"/>
            </a:solidFill>
            <a:latin typeface="Calibri"/>
            <a:ea typeface="Calibri"/>
            <a:cs typeface="Calibri"/>
          </a:endParaRPr>
        </a:p>
        <a:p>
          <a:pPr algn="ctr"/>
          <a:fld id="{D517B48C-A9E7-4554-A54F-67C288A52BC3}" type="TxLink">
            <a:rPr lang="en-US" sz="1600" b="1" i="0" u="none" strike="noStrike">
              <a:solidFill>
                <a:srgbClr val="000000"/>
              </a:solidFill>
              <a:latin typeface="Calibri"/>
              <a:ea typeface="Calibri"/>
              <a:cs typeface="Calibri"/>
            </a:rPr>
            <a:pPr algn="ctr"/>
            <a:t> 39,47,79,700.00 </a:t>
          </a:fld>
          <a:endParaRPr lang="en-IN" sz="1600" b="1"/>
        </a:p>
      </xdr:txBody>
    </xdr:sp>
    <xdr:clientData/>
  </xdr:twoCellAnchor>
  <xdr:twoCellAnchor>
    <xdr:from>
      <xdr:col>10</xdr:col>
      <xdr:colOff>9217</xdr:colOff>
      <xdr:row>8</xdr:row>
      <xdr:rowOff>54152</xdr:rowOff>
    </xdr:from>
    <xdr:to>
      <xdr:col>15</xdr:col>
      <xdr:colOff>424721</xdr:colOff>
      <xdr:row>14</xdr:row>
      <xdr:rowOff>25930</xdr:rowOff>
    </xdr:to>
    <xdr:sp macro="" textlink="Dashboard1PivotTables!L6">
      <xdr:nvSpPr>
        <xdr:cNvPr id="7" name="Rectangle: Rounded Corners 6">
          <a:extLst>
            <a:ext uri="{FF2B5EF4-FFF2-40B4-BE49-F238E27FC236}">
              <a16:creationId xmlns:a16="http://schemas.microsoft.com/office/drawing/2014/main" id="{26238756-E38A-9CB4-78B5-BADFF73C5F00}"/>
            </a:ext>
          </a:extLst>
        </xdr:cNvPr>
        <xdr:cNvSpPr/>
      </xdr:nvSpPr>
      <xdr:spPr>
        <a:xfrm>
          <a:off x="6130201" y="1553168"/>
          <a:ext cx="3475995" cy="1096041"/>
        </a:xfrm>
        <a:prstGeom prst="roundRect">
          <a:avLst/>
        </a:prstGeom>
        <a:solidFill>
          <a:schemeClr val="bg1"/>
        </a:solidFill>
        <a:effectLst>
          <a:outerShdw blurRad="762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t>📈</a:t>
          </a:r>
          <a:r>
            <a:rPr lang="en-US" sz="1600" b="1" i="0" u="none" strike="noStrike">
              <a:solidFill>
                <a:srgbClr val="000000"/>
              </a:solidFill>
              <a:latin typeface="Calibri"/>
              <a:ea typeface="Calibri"/>
              <a:cs typeface="Calibri"/>
            </a:rPr>
            <a:t>Total Profit</a:t>
          </a:r>
        </a:p>
        <a:p>
          <a:pPr algn="ctr"/>
          <a:endParaRPr lang="en-US" sz="1600" b="1" i="0" u="none" strike="noStrike">
            <a:solidFill>
              <a:srgbClr val="000000"/>
            </a:solidFill>
            <a:latin typeface="Calibri"/>
            <a:ea typeface="Calibri"/>
            <a:cs typeface="Calibri"/>
          </a:endParaRPr>
        </a:p>
        <a:p>
          <a:pPr algn="ctr"/>
          <a:fld id="{D98AA0EF-ABDA-43F5-B982-A3D74F3B5043}" type="TxLink">
            <a:rPr lang="en-US" sz="1600" b="1" i="0" u="none" strike="noStrike">
              <a:solidFill>
                <a:srgbClr val="000000"/>
              </a:solidFill>
              <a:latin typeface="Calibri"/>
              <a:ea typeface="Calibri"/>
              <a:cs typeface="Calibri"/>
            </a:rPr>
            <a:pPr algn="ctr"/>
            <a:t> 19,98,25,304.00 </a:t>
          </a:fld>
          <a:endParaRPr lang="en-IN" sz="3200" b="1"/>
        </a:p>
      </xdr:txBody>
    </xdr:sp>
    <xdr:clientData/>
  </xdr:twoCellAnchor>
  <xdr:twoCellAnchor>
    <xdr:from>
      <xdr:col>16</xdr:col>
      <xdr:colOff>342830</xdr:colOff>
      <xdr:row>8</xdr:row>
      <xdr:rowOff>54152</xdr:rowOff>
    </xdr:from>
    <xdr:to>
      <xdr:col>22</xdr:col>
      <xdr:colOff>124918</xdr:colOff>
      <xdr:row>14</xdr:row>
      <xdr:rowOff>25930</xdr:rowOff>
    </xdr:to>
    <xdr:sp macro="" textlink="Dashboard1PivotTables!M6">
      <xdr:nvSpPr>
        <xdr:cNvPr id="8" name="Rectangle: Rounded Corners 7">
          <a:extLst>
            <a:ext uri="{FF2B5EF4-FFF2-40B4-BE49-F238E27FC236}">
              <a16:creationId xmlns:a16="http://schemas.microsoft.com/office/drawing/2014/main" id="{92120535-0168-99B7-55FE-039866114158}"/>
            </a:ext>
          </a:extLst>
        </xdr:cNvPr>
        <xdr:cNvSpPr/>
      </xdr:nvSpPr>
      <xdr:spPr>
        <a:xfrm>
          <a:off x="10136404" y="1553168"/>
          <a:ext cx="3454678" cy="1096041"/>
        </a:xfrm>
        <a:prstGeom prst="roundRect">
          <a:avLst/>
        </a:prstGeom>
        <a:solidFill>
          <a:schemeClr val="bg1"/>
        </a:solidFill>
        <a:effectLst>
          <a:outerShdw blurRad="762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t>🛒 </a:t>
          </a:r>
          <a:r>
            <a:rPr lang="en-US" sz="1600" b="1" i="0" u="none" strike="noStrike">
              <a:solidFill>
                <a:srgbClr val="000000"/>
              </a:solidFill>
              <a:latin typeface="Calibri"/>
              <a:ea typeface="Calibri"/>
              <a:cs typeface="Calibri"/>
            </a:rPr>
            <a:t>Total Orders</a:t>
          </a:r>
        </a:p>
        <a:p>
          <a:pPr algn="ctr"/>
          <a:endParaRPr lang="en-US" sz="1600" b="1" i="0" u="none" strike="noStrike">
            <a:solidFill>
              <a:srgbClr val="000000"/>
            </a:solidFill>
            <a:latin typeface="Calibri"/>
            <a:ea typeface="Calibri"/>
            <a:cs typeface="Calibri"/>
          </a:endParaRPr>
        </a:p>
        <a:p>
          <a:pPr algn="ctr"/>
          <a:fld id="{8D44A6A3-96F3-431D-969C-98DAE7FE5AFE}" type="TxLink">
            <a:rPr lang="en-US" sz="1600" b="1" i="0" u="none" strike="noStrike">
              <a:solidFill>
                <a:srgbClr val="000000"/>
              </a:solidFill>
              <a:latin typeface="Calibri"/>
              <a:ea typeface="Calibri"/>
              <a:cs typeface="Calibri"/>
            </a:rPr>
            <a:pPr algn="ctr"/>
            <a:t> 600.00 </a:t>
          </a:fld>
          <a:endParaRPr lang="en-IN" sz="1600" b="1"/>
        </a:p>
      </xdr:txBody>
    </xdr:sp>
    <xdr:clientData/>
  </xdr:twoCellAnchor>
  <xdr:twoCellAnchor>
    <xdr:from>
      <xdr:col>23</xdr:col>
      <xdr:colOff>179049</xdr:colOff>
      <xdr:row>8</xdr:row>
      <xdr:rowOff>54152</xdr:rowOff>
    </xdr:from>
    <xdr:to>
      <xdr:col>28</xdr:col>
      <xdr:colOff>562131</xdr:colOff>
      <xdr:row>14</xdr:row>
      <xdr:rowOff>25930</xdr:rowOff>
    </xdr:to>
    <xdr:sp macro="" textlink="Dashboard1PivotTables!N6">
      <xdr:nvSpPr>
        <xdr:cNvPr id="9" name="Rectangle: Rounded Corners 8">
          <a:extLst>
            <a:ext uri="{FF2B5EF4-FFF2-40B4-BE49-F238E27FC236}">
              <a16:creationId xmlns:a16="http://schemas.microsoft.com/office/drawing/2014/main" id="{9419AAB7-83F9-F634-C200-FDCA4380DA89}"/>
            </a:ext>
          </a:extLst>
        </xdr:cNvPr>
        <xdr:cNvSpPr/>
      </xdr:nvSpPr>
      <xdr:spPr>
        <a:xfrm>
          <a:off x="14257311" y="1553168"/>
          <a:ext cx="3443574" cy="1096041"/>
        </a:xfrm>
        <a:prstGeom prst="roundRect">
          <a:avLst/>
        </a:prstGeom>
        <a:solidFill>
          <a:schemeClr val="bg1"/>
        </a:solidFill>
        <a:effectLst>
          <a:outerShdw blurRad="762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t>📊 </a:t>
          </a:r>
          <a:r>
            <a:rPr lang="en-US" sz="1600" b="1" i="0" u="none" strike="noStrike">
              <a:solidFill>
                <a:srgbClr val="000000"/>
              </a:solidFill>
              <a:latin typeface="Calibri"/>
              <a:ea typeface="Calibri"/>
              <a:cs typeface="Calibri"/>
            </a:rPr>
            <a:t>Total Units Sold</a:t>
          </a:r>
        </a:p>
        <a:p>
          <a:pPr algn="ctr"/>
          <a:endParaRPr lang="en-US" sz="1600" b="1" i="0" u="none" strike="noStrike">
            <a:solidFill>
              <a:srgbClr val="000000"/>
            </a:solidFill>
            <a:latin typeface="Calibri"/>
            <a:ea typeface="Calibri"/>
            <a:cs typeface="Calibri"/>
          </a:endParaRPr>
        </a:p>
        <a:p>
          <a:pPr algn="ctr"/>
          <a:fld id="{6405CB35-20DE-479B-B570-942B3D060FE0}" type="TxLink">
            <a:rPr lang="en-US" sz="1600" b="1" i="0" u="none" strike="noStrike">
              <a:solidFill>
                <a:srgbClr val="000000"/>
              </a:solidFill>
              <a:latin typeface="Calibri"/>
              <a:ea typeface="Calibri"/>
              <a:cs typeface="Calibri"/>
            </a:rPr>
            <a:pPr algn="ctr"/>
            <a:t> 1,52,423.00 </a:t>
          </a:fld>
          <a:endParaRPr lang="en-IN" sz="1600" b="1"/>
        </a:p>
      </xdr:txBody>
    </xdr:sp>
    <xdr:clientData/>
  </xdr:twoCellAnchor>
  <xdr:twoCellAnchor>
    <xdr:from>
      <xdr:col>29</xdr:col>
      <xdr:colOff>395573</xdr:colOff>
      <xdr:row>8</xdr:row>
      <xdr:rowOff>54152</xdr:rowOff>
    </xdr:from>
    <xdr:to>
      <xdr:col>35</xdr:col>
      <xdr:colOff>349770</xdr:colOff>
      <xdr:row>14</xdr:row>
      <xdr:rowOff>25930</xdr:rowOff>
    </xdr:to>
    <xdr:sp macro="" textlink="Dashboard1PivotTables!O6">
      <xdr:nvSpPr>
        <xdr:cNvPr id="10" name="Rectangle: Rounded Corners 9">
          <a:extLst>
            <a:ext uri="{FF2B5EF4-FFF2-40B4-BE49-F238E27FC236}">
              <a16:creationId xmlns:a16="http://schemas.microsoft.com/office/drawing/2014/main" id="{20440437-5C40-1973-3D12-33AC22844C88}"/>
            </a:ext>
          </a:extLst>
        </xdr:cNvPr>
        <xdr:cNvSpPr/>
      </xdr:nvSpPr>
      <xdr:spPr>
        <a:xfrm>
          <a:off x="18146425" y="1553168"/>
          <a:ext cx="3626788" cy="1096041"/>
        </a:xfrm>
        <a:prstGeom prst="roundRect">
          <a:avLst/>
        </a:prstGeom>
        <a:solidFill>
          <a:schemeClr val="bg1"/>
        </a:solidFill>
        <a:effectLst>
          <a:outerShdw blurRad="762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t>🎯</a:t>
          </a:r>
          <a:r>
            <a:rPr lang="en-US" sz="1600" b="1" i="0" u="none" strike="noStrike">
              <a:solidFill>
                <a:srgbClr val="000000"/>
              </a:solidFill>
              <a:latin typeface="Calibri"/>
              <a:ea typeface="Calibri"/>
              <a:cs typeface="Calibri"/>
            </a:rPr>
            <a:t>Profit Margin %</a:t>
          </a:r>
        </a:p>
        <a:p>
          <a:pPr algn="ctr"/>
          <a:endParaRPr lang="en-US" sz="1600" b="1" i="0" u="none" strike="noStrike">
            <a:solidFill>
              <a:srgbClr val="000000"/>
            </a:solidFill>
            <a:latin typeface="Calibri"/>
            <a:ea typeface="Calibri"/>
            <a:cs typeface="Calibri"/>
          </a:endParaRPr>
        </a:p>
        <a:p>
          <a:pPr algn="ctr"/>
          <a:fld id="{77941CC2-49DE-49C1-8D5B-AAF6E8340AD6}" type="TxLink">
            <a:rPr lang="en-US" sz="1600" b="1" i="0" u="none" strike="noStrike">
              <a:solidFill>
                <a:srgbClr val="000000"/>
              </a:solidFill>
              <a:latin typeface="Calibri"/>
              <a:ea typeface="Calibri"/>
              <a:cs typeface="Calibri"/>
            </a:rPr>
            <a:pPr algn="ctr"/>
            <a:t>51%</a:t>
          </a:fld>
          <a:endParaRPr lang="en-IN" sz="1600" b="1"/>
        </a:p>
      </xdr:txBody>
    </xdr:sp>
    <xdr:clientData/>
  </xdr:twoCellAnchor>
  <xdr:twoCellAnchor>
    <xdr:from>
      <xdr:col>9</xdr:col>
      <xdr:colOff>20510</xdr:colOff>
      <xdr:row>15</xdr:row>
      <xdr:rowOff>59994</xdr:rowOff>
    </xdr:from>
    <xdr:to>
      <xdr:col>16</xdr:col>
      <xdr:colOff>350385</xdr:colOff>
      <xdr:row>26</xdr:row>
      <xdr:rowOff>115666</xdr:rowOff>
    </xdr:to>
    <xdr:graphicFrame macro="">
      <xdr:nvGraphicFramePr>
        <xdr:cNvPr id="11" name="Chart 10">
          <a:extLst>
            <a:ext uri="{FF2B5EF4-FFF2-40B4-BE49-F238E27FC236}">
              <a16:creationId xmlns:a16="http://schemas.microsoft.com/office/drawing/2014/main" id="{73AD2B0F-CA7B-4CD3-94C8-C8B4C416E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416238</xdr:colOff>
      <xdr:row>15</xdr:row>
      <xdr:rowOff>72483</xdr:rowOff>
    </xdr:from>
    <xdr:to>
      <xdr:col>24</xdr:col>
      <xdr:colOff>284534</xdr:colOff>
      <xdr:row>26</xdr:row>
      <xdr:rowOff>118749</xdr:rowOff>
    </xdr:to>
    <xdr:graphicFrame macro="">
      <xdr:nvGraphicFramePr>
        <xdr:cNvPr id="12" name="Chart 11">
          <a:extLst>
            <a:ext uri="{FF2B5EF4-FFF2-40B4-BE49-F238E27FC236}">
              <a16:creationId xmlns:a16="http://schemas.microsoft.com/office/drawing/2014/main" id="{7C62E80E-6EF3-487D-9946-611D0AD6E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38094</xdr:colOff>
      <xdr:row>27</xdr:row>
      <xdr:rowOff>35011</xdr:rowOff>
    </xdr:from>
    <xdr:to>
      <xdr:col>16</xdr:col>
      <xdr:colOff>349770</xdr:colOff>
      <xdr:row>38</xdr:row>
      <xdr:rowOff>90681</xdr:rowOff>
    </xdr:to>
    <xdr:graphicFrame macro="">
      <xdr:nvGraphicFramePr>
        <xdr:cNvPr id="13" name="Chart 12">
          <a:extLst>
            <a:ext uri="{FF2B5EF4-FFF2-40B4-BE49-F238E27FC236}">
              <a16:creationId xmlns:a16="http://schemas.microsoft.com/office/drawing/2014/main" id="{E6D13FDE-E25B-42C3-AC9E-7D398C740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254771</xdr:colOff>
      <xdr:row>15</xdr:row>
      <xdr:rowOff>74951</xdr:rowOff>
    </xdr:from>
    <xdr:to>
      <xdr:col>36</xdr:col>
      <xdr:colOff>399738</xdr:colOff>
      <xdr:row>26</xdr:row>
      <xdr:rowOff>124918</xdr:rowOff>
    </xdr:to>
    <xdr:graphicFrame macro="">
      <xdr:nvGraphicFramePr>
        <xdr:cNvPr id="14" name="Chart 13">
          <a:extLst>
            <a:ext uri="{FF2B5EF4-FFF2-40B4-BE49-F238E27FC236}">
              <a16:creationId xmlns:a16="http://schemas.microsoft.com/office/drawing/2014/main" id="{3FFDE1A8-8BB8-4B71-A789-12D29EDDA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362264</xdr:colOff>
      <xdr:row>15</xdr:row>
      <xdr:rowOff>78652</xdr:rowOff>
    </xdr:from>
    <xdr:to>
      <xdr:col>32</xdr:col>
      <xdr:colOff>187377</xdr:colOff>
      <xdr:row>26</xdr:row>
      <xdr:rowOff>112427</xdr:rowOff>
    </xdr:to>
    <xdr:graphicFrame macro="">
      <xdr:nvGraphicFramePr>
        <xdr:cNvPr id="15" name="Chart 14">
          <a:extLst>
            <a:ext uri="{FF2B5EF4-FFF2-40B4-BE49-F238E27FC236}">
              <a16:creationId xmlns:a16="http://schemas.microsoft.com/office/drawing/2014/main" id="{5CDCA0F9-4B3D-4264-AA0C-F85847FD7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415930</xdr:colOff>
      <xdr:row>27</xdr:row>
      <xdr:rowOff>41026</xdr:rowOff>
    </xdr:from>
    <xdr:to>
      <xdr:col>24</xdr:col>
      <xdr:colOff>299803</xdr:colOff>
      <xdr:row>38</xdr:row>
      <xdr:rowOff>74952</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8E3DAC4A-9C82-4159-A400-BBDD18AABD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69530" y="4986406"/>
              <a:ext cx="4760673" cy="20456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387246</xdr:colOff>
      <xdr:row>27</xdr:row>
      <xdr:rowOff>14914</xdr:rowOff>
    </xdr:from>
    <xdr:to>
      <xdr:col>36</xdr:col>
      <xdr:colOff>437213</xdr:colOff>
      <xdr:row>38</xdr:row>
      <xdr:rowOff>49967</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BA1181C9-4F69-470D-82C4-DEEFDC0202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017646" y="4960294"/>
              <a:ext cx="7365167" cy="20467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189802</xdr:colOff>
      <xdr:row>15</xdr:row>
      <xdr:rowOff>52393</xdr:rowOff>
    </xdr:from>
    <xdr:to>
      <xdr:col>8</xdr:col>
      <xdr:colOff>149902</xdr:colOff>
      <xdr:row>23</xdr:row>
      <xdr:rowOff>49967</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A71B895A-FB72-44D5-986E-F0AB6E6912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50294" y="2863049"/>
              <a:ext cx="1796395" cy="1496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316396</xdr:colOff>
      <xdr:row>23</xdr:row>
      <xdr:rowOff>61340</xdr:rowOff>
    </xdr:from>
    <xdr:to>
      <xdr:col>5</xdr:col>
      <xdr:colOff>124918</xdr:colOff>
      <xdr:row>38</xdr:row>
      <xdr:rowOff>149901</xdr:rowOff>
    </xdr:to>
    <mc:AlternateContent xmlns:mc="http://schemas.openxmlformats.org/markup-compatibility/2006" xmlns:a14="http://schemas.microsoft.com/office/drawing/2010/main">
      <mc:Choice Requires="a14">
        <xdr:graphicFrame macro="">
          <xdr:nvGraphicFramePr>
            <xdr:cNvPr id="19" name="State 1">
              <a:extLst>
                <a:ext uri="{FF2B5EF4-FFF2-40B4-BE49-F238E27FC236}">
                  <a16:creationId xmlns:a16="http://schemas.microsoft.com/office/drawing/2014/main" id="{C9A3B2DA-0A45-4C89-83D5-644DDAA07C2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28494" y="4371012"/>
              <a:ext cx="2256916" cy="2899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174886</xdr:colOff>
      <xdr:row>31</xdr:row>
      <xdr:rowOff>112426</xdr:rowOff>
    </xdr:from>
    <xdr:to>
      <xdr:col>8</xdr:col>
      <xdr:colOff>199869</xdr:colOff>
      <xdr:row>38</xdr:row>
      <xdr:rowOff>162393</xdr:rowOff>
    </xdr:to>
    <mc:AlternateContent xmlns:mc="http://schemas.openxmlformats.org/markup-compatibility/2006" xmlns:a14="http://schemas.microsoft.com/office/drawing/2010/main">
      <mc:Choice Requires="a14">
        <xdr:graphicFrame macro="">
          <xdr:nvGraphicFramePr>
            <xdr:cNvPr id="20" name="Sales_Channel 1">
              <a:extLst>
                <a:ext uri="{FF2B5EF4-FFF2-40B4-BE49-F238E27FC236}">
                  <a16:creationId xmlns:a16="http://schemas.microsoft.com/office/drawing/2014/main" id="{1A129B2A-D809-469D-B145-2EB3C309798B}"/>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3235378" y="5921115"/>
              <a:ext cx="1861278" cy="1361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174886</xdr:colOff>
      <xdr:row>23</xdr:row>
      <xdr:rowOff>112426</xdr:rowOff>
    </xdr:from>
    <xdr:to>
      <xdr:col>8</xdr:col>
      <xdr:colOff>183052</xdr:colOff>
      <xdr:row>31</xdr:row>
      <xdr:rowOff>59611</xdr:rowOff>
    </xdr:to>
    <mc:AlternateContent xmlns:mc="http://schemas.openxmlformats.org/markup-compatibility/2006" xmlns:a14="http://schemas.microsoft.com/office/drawing/2010/main">
      <mc:Choice Requires="a14">
        <xdr:graphicFrame macro="">
          <xdr:nvGraphicFramePr>
            <xdr:cNvPr id="21" name="Product_Category 1">
              <a:extLst>
                <a:ext uri="{FF2B5EF4-FFF2-40B4-BE49-F238E27FC236}">
                  <a16:creationId xmlns:a16="http://schemas.microsoft.com/office/drawing/2014/main" id="{71C88A3D-0BA7-49D1-B097-42A8DBC43D2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235378" y="4422098"/>
              <a:ext cx="1844461" cy="1446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331126</xdr:colOff>
      <xdr:row>15</xdr:row>
      <xdr:rowOff>45493</xdr:rowOff>
    </xdr:from>
    <xdr:to>
      <xdr:col>5</xdr:col>
      <xdr:colOff>124917</xdr:colOff>
      <xdr:row>23</xdr:row>
      <xdr:rowOff>24984</xdr:rowOff>
    </xdr:to>
    <mc:AlternateContent xmlns:mc="http://schemas.openxmlformats.org/markup-compatibility/2006" xmlns:a14="http://schemas.microsoft.com/office/drawing/2010/main">
      <mc:Choice Requires="a14">
        <xdr:graphicFrame macro="">
          <xdr:nvGraphicFramePr>
            <xdr:cNvPr id="22" name="Months (Order_Date) 1">
              <a:extLst>
                <a:ext uri="{FF2B5EF4-FFF2-40B4-BE49-F238E27FC236}">
                  <a16:creationId xmlns:a16="http://schemas.microsoft.com/office/drawing/2014/main" id="{985D07D4-ECB8-4115-9D82-7E49FEE0D2C6}"/>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943224" y="2856149"/>
              <a:ext cx="2242185" cy="1478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12493</xdr:colOff>
      <xdr:row>2</xdr:row>
      <xdr:rowOff>37476</xdr:rowOff>
    </xdr:from>
    <xdr:to>
      <xdr:col>34</xdr:col>
      <xdr:colOff>124919</xdr:colOff>
      <xdr:row>6</xdr:row>
      <xdr:rowOff>99935</xdr:rowOff>
    </xdr:to>
    <xdr:sp macro="" textlink="">
      <xdr:nvSpPr>
        <xdr:cNvPr id="3" name="Arrow: Right 2">
          <a:hlinkClick xmlns:r="http://schemas.openxmlformats.org/officeDocument/2006/relationships" r:id="rId8"/>
          <a:extLst>
            <a:ext uri="{FF2B5EF4-FFF2-40B4-BE49-F238E27FC236}">
              <a16:creationId xmlns:a16="http://schemas.microsoft.com/office/drawing/2014/main" id="{3BD66307-7189-43A3-59DE-8AFFBB3A6F49}"/>
            </a:ext>
          </a:extLst>
        </xdr:cNvPr>
        <xdr:cNvSpPr/>
      </xdr:nvSpPr>
      <xdr:spPr>
        <a:xfrm>
          <a:off x="16539149" y="412230"/>
          <a:ext cx="4397114" cy="811967"/>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Go TO Product</a:t>
          </a:r>
          <a:r>
            <a:rPr lang="en-IN" sz="1600" b="1" baseline="0">
              <a:solidFill>
                <a:schemeClr val="tx1"/>
              </a:solidFill>
            </a:rPr>
            <a:t> Dashboard</a:t>
          </a:r>
          <a:endParaRPr lang="en-IN" sz="1600" b="1">
            <a:solidFill>
              <a:schemeClr val="tx1"/>
            </a:solidFill>
          </a:endParaRPr>
        </a:p>
      </xdr:txBody>
    </xdr:sp>
    <xdr:clientData/>
  </xdr:twoCellAnchor>
  <xdr:twoCellAnchor editAs="oneCell">
    <xdr:from>
      <xdr:col>2</xdr:col>
      <xdr:colOff>462197</xdr:colOff>
      <xdr:row>2</xdr:row>
      <xdr:rowOff>37476</xdr:rowOff>
    </xdr:from>
    <xdr:to>
      <xdr:col>4</xdr:col>
      <xdr:colOff>599606</xdr:colOff>
      <xdr:row>6</xdr:row>
      <xdr:rowOff>74951</xdr:rowOff>
    </xdr:to>
    <xdr:pic>
      <xdr:nvPicPr>
        <xdr:cNvPr id="5" name="Picture 4">
          <a:extLst>
            <a:ext uri="{FF2B5EF4-FFF2-40B4-BE49-F238E27FC236}">
              <a16:creationId xmlns:a16="http://schemas.microsoft.com/office/drawing/2014/main" id="{BB80EA5C-0AA4-590B-C422-7EDBD546FE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86394" y="412230"/>
          <a:ext cx="1361605" cy="7869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262365</xdr:colOff>
      <xdr:row>1</xdr:row>
      <xdr:rowOff>120892</xdr:rowOff>
    </xdr:from>
    <xdr:to>
      <xdr:col>24</xdr:col>
      <xdr:colOff>201730</xdr:colOff>
      <xdr:row>5</xdr:row>
      <xdr:rowOff>94835</xdr:rowOff>
    </xdr:to>
    <xdr:sp macro="" textlink="">
      <xdr:nvSpPr>
        <xdr:cNvPr id="2" name="Rectangle: Rounded Corners 1">
          <a:extLst>
            <a:ext uri="{FF2B5EF4-FFF2-40B4-BE49-F238E27FC236}">
              <a16:creationId xmlns:a16="http://schemas.microsoft.com/office/drawing/2014/main" id="{261CA4FE-6E4A-8E42-9957-18D6983CF4E7}"/>
            </a:ext>
          </a:extLst>
        </xdr:cNvPr>
        <xdr:cNvSpPr/>
      </xdr:nvSpPr>
      <xdr:spPr>
        <a:xfrm>
          <a:off x="870253" y="309252"/>
          <a:ext cx="13920780" cy="693134"/>
        </a:xfrm>
        <a:prstGeom prst="roundRect">
          <a:avLst/>
        </a:prstGeom>
        <a:solidFill>
          <a:srgbClr val="00206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solidFill>
                <a:schemeClr val="bg1"/>
              </a:solidFill>
              <a:effectLst/>
              <a:latin typeface="+mn-lt"/>
              <a:ea typeface="+mn-ea"/>
              <a:cs typeface="+mn-cs"/>
            </a:rPr>
            <a:t>RELIANCE   INDUSTRIES   PRODUCT</a:t>
          </a:r>
          <a:r>
            <a:rPr lang="en-IN" sz="2800" baseline="0">
              <a:solidFill>
                <a:schemeClr val="bg1"/>
              </a:solidFill>
              <a:effectLst/>
              <a:latin typeface="+mn-lt"/>
              <a:ea typeface="+mn-ea"/>
              <a:cs typeface="+mn-cs"/>
            </a:rPr>
            <a:t>  PERFORMANCE</a:t>
          </a:r>
          <a:r>
            <a:rPr lang="en-IN" sz="2800">
              <a:solidFill>
                <a:schemeClr val="bg1"/>
              </a:solidFill>
            </a:rPr>
            <a:t>  </a:t>
          </a:r>
          <a:r>
            <a:rPr lang="en-IN" sz="2800" baseline="0">
              <a:solidFill>
                <a:schemeClr val="bg1"/>
              </a:solidFill>
            </a:rPr>
            <a:t> </a:t>
          </a:r>
          <a:endParaRPr lang="en-IN" sz="2800">
            <a:solidFill>
              <a:schemeClr val="bg1"/>
            </a:solidFill>
          </a:endParaRPr>
        </a:p>
      </xdr:txBody>
    </xdr:sp>
    <xdr:clientData/>
  </xdr:twoCellAnchor>
  <xdr:twoCellAnchor>
    <xdr:from>
      <xdr:col>1</xdr:col>
      <xdr:colOff>489633</xdr:colOff>
      <xdr:row>10</xdr:row>
      <xdr:rowOff>146945</xdr:rowOff>
    </xdr:from>
    <xdr:to>
      <xdr:col>7</xdr:col>
      <xdr:colOff>38987</xdr:colOff>
      <xdr:row>19</xdr:row>
      <xdr:rowOff>96227</xdr:rowOff>
    </xdr:to>
    <xdr:graphicFrame macro="">
      <xdr:nvGraphicFramePr>
        <xdr:cNvPr id="3" name="Chart 2">
          <a:extLst>
            <a:ext uri="{FF2B5EF4-FFF2-40B4-BE49-F238E27FC236}">
              <a16:creationId xmlns:a16="http://schemas.microsoft.com/office/drawing/2014/main" id="{C3C2F024-8F01-4F68-8FEE-CB3A79941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169446</xdr:colOff>
      <xdr:row>10</xdr:row>
      <xdr:rowOff>145200</xdr:rowOff>
    </xdr:from>
    <xdr:to>
      <xdr:col>19</xdr:col>
      <xdr:colOff>449683</xdr:colOff>
      <xdr:row>19</xdr:row>
      <xdr:rowOff>89850</xdr:rowOff>
    </xdr:to>
    <xdr:graphicFrame macro="">
      <xdr:nvGraphicFramePr>
        <xdr:cNvPr id="5" name="Chart 4">
          <a:extLst>
            <a:ext uri="{FF2B5EF4-FFF2-40B4-BE49-F238E27FC236}">
              <a16:creationId xmlns:a16="http://schemas.microsoft.com/office/drawing/2014/main" id="{406F9088-D9F7-4B6B-9D71-5B73B1626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489630</xdr:colOff>
      <xdr:row>19</xdr:row>
      <xdr:rowOff>120260</xdr:rowOff>
    </xdr:from>
    <xdr:to>
      <xdr:col>7</xdr:col>
      <xdr:colOff>42808</xdr:colOff>
      <xdr:row>27</xdr:row>
      <xdr:rowOff>6770</xdr:rowOff>
    </xdr:to>
    <xdr:graphicFrame macro="">
      <xdr:nvGraphicFramePr>
        <xdr:cNvPr id="6" name="Chart 5">
          <a:extLst>
            <a:ext uri="{FF2B5EF4-FFF2-40B4-BE49-F238E27FC236}">
              <a16:creationId xmlns:a16="http://schemas.microsoft.com/office/drawing/2014/main" id="{98CC8C98-028B-4F31-AFEA-20C078010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162674</xdr:colOff>
      <xdr:row>19</xdr:row>
      <xdr:rowOff>122357</xdr:rowOff>
    </xdr:from>
    <xdr:to>
      <xdr:col>19</xdr:col>
      <xdr:colOff>477296</xdr:colOff>
      <xdr:row>27</xdr:row>
      <xdr:rowOff>8562</xdr:rowOff>
    </xdr:to>
    <xdr:graphicFrame macro="">
      <xdr:nvGraphicFramePr>
        <xdr:cNvPr id="7" name="Chart 6">
          <a:extLst>
            <a:ext uri="{FF2B5EF4-FFF2-40B4-BE49-F238E27FC236}">
              <a16:creationId xmlns:a16="http://schemas.microsoft.com/office/drawing/2014/main" id="{D06A3F1F-8508-40E1-AB8B-C1404A5F1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73812</xdr:colOff>
      <xdr:row>19</xdr:row>
      <xdr:rowOff>128427</xdr:rowOff>
    </xdr:from>
    <xdr:to>
      <xdr:col>13</xdr:col>
      <xdr:colOff>119865</xdr:colOff>
      <xdr:row>27</xdr:row>
      <xdr:rowOff>8562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E4C48709-4897-4DA6-95D1-0F4D281EC5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329025" y="3553146"/>
              <a:ext cx="3693379" cy="13185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85617</xdr:colOff>
      <xdr:row>10</xdr:row>
      <xdr:rowOff>153219</xdr:rowOff>
    </xdr:from>
    <xdr:to>
      <xdr:col>13</xdr:col>
      <xdr:colOff>128426</xdr:colOff>
      <xdr:row>19</xdr:row>
      <xdr:rowOff>94180</xdr:rowOff>
    </xdr:to>
    <xdr:graphicFrame macro="">
      <xdr:nvGraphicFramePr>
        <xdr:cNvPr id="9" name="Chart 8">
          <a:extLst>
            <a:ext uri="{FF2B5EF4-FFF2-40B4-BE49-F238E27FC236}">
              <a16:creationId xmlns:a16="http://schemas.microsoft.com/office/drawing/2014/main" id="{209C08DD-4746-4701-B7B7-7A4D09AA5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171237</xdr:colOff>
      <xdr:row>6</xdr:row>
      <xdr:rowOff>81337</xdr:rowOff>
    </xdr:from>
    <xdr:to>
      <xdr:col>5</xdr:col>
      <xdr:colOff>539394</xdr:colOff>
      <xdr:row>10</xdr:row>
      <xdr:rowOff>38528</xdr:rowOff>
    </xdr:to>
    <xdr:sp macro="" textlink="'Dashboard2PivotTables '!E10">
      <xdr:nvSpPr>
        <xdr:cNvPr id="10" name="Rectangle: Rounded Corners 9">
          <a:extLst>
            <a:ext uri="{FF2B5EF4-FFF2-40B4-BE49-F238E27FC236}">
              <a16:creationId xmlns:a16="http://schemas.microsoft.com/office/drawing/2014/main" id="{40F30D0A-9953-E42D-D695-1A63035E79E0}"/>
            </a:ext>
          </a:extLst>
        </xdr:cNvPr>
        <xdr:cNvSpPr/>
      </xdr:nvSpPr>
      <xdr:spPr>
        <a:xfrm>
          <a:off x="1387012" y="1168685"/>
          <a:ext cx="2191820" cy="676382"/>
        </a:xfrm>
        <a:prstGeom prst="roundRect">
          <a:avLst/>
        </a:prstGeom>
        <a:effectLst>
          <a:outerShdw blurRad="76200" dist="50800" dir="5400000" sx="106000" sy="106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a:t>
          </a:r>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a:t>
          </a:r>
          <a:r>
            <a:rPr lang="en-US" sz="1400" b="1"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Products</a:t>
          </a:r>
          <a:endPar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algn="ctr"/>
          <a:fld id="{A2838F30-B2F6-4368-8E2F-186304DCDE42}"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600</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325349</xdr:colOff>
      <xdr:row>6</xdr:row>
      <xdr:rowOff>81337</xdr:rowOff>
    </xdr:from>
    <xdr:to>
      <xdr:col>10</xdr:col>
      <xdr:colOff>85619</xdr:colOff>
      <xdr:row>10</xdr:row>
      <xdr:rowOff>38528</xdr:rowOff>
    </xdr:to>
    <xdr:sp macro="" textlink="'Dashboard2PivotTables '!F8">
      <xdr:nvSpPr>
        <xdr:cNvPr id="11" name="Rectangle: Rounded Corners 10">
          <a:extLst>
            <a:ext uri="{FF2B5EF4-FFF2-40B4-BE49-F238E27FC236}">
              <a16:creationId xmlns:a16="http://schemas.microsoft.com/office/drawing/2014/main" id="{A46461CC-3142-BDC8-79AF-7C09D539F803}"/>
            </a:ext>
          </a:extLst>
        </xdr:cNvPr>
        <xdr:cNvSpPr/>
      </xdr:nvSpPr>
      <xdr:spPr>
        <a:xfrm>
          <a:off x="3972675" y="1168685"/>
          <a:ext cx="2191820" cy="676382"/>
        </a:xfrm>
        <a:prstGeom prst="roundRect">
          <a:avLst/>
        </a:prstGeom>
        <a:effectLst>
          <a:outerShdw blurRad="762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a:t>
          </a:r>
          <a:r>
            <a:rPr lang="en-US" sz="1200" b="1" i="0" u="none" strike="noStrike">
              <a:solidFill>
                <a:srgbClr val="000000"/>
              </a:solidFill>
              <a:latin typeface="Calibri"/>
              <a:ea typeface="Calibri"/>
              <a:cs typeface="Calibri"/>
            </a:rPr>
            <a:t>Highest Selling Product</a:t>
          </a:r>
        </a:p>
        <a:p>
          <a:pPr algn="ctr"/>
          <a:fld id="{DACB8E5D-A8EA-4FB4-AD9F-714981FA4299}" type="TxLink">
            <a:rPr lang="en-US" sz="1200" b="1" i="0" u="none" strike="noStrike">
              <a:solidFill>
                <a:srgbClr val="000000"/>
              </a:solidFill>
              <a:latin typeface="Calibri"/>
              <a:ea typeface="Calibri"/>
              <a:cs typeface="Calibri"/>
            </a:rPr>
            <a:pPr algn="ctr"/>
            <a:t>Grocery Pack</a:t>
          </a:fld>
          <a:endParaRPr lang="en-IN" sz="1200" b="1"/>
        </a:p>
      </xdr:txBody>
    </xdr:sp>
    <xdr:clientData/>
  </xdr:twoCellAnchor>
  <xdr:twoCellAnchor>
    <xdr:from>
      <xdr:col>10</xdr:col>
      <xdr:colOff>453775</xdr:colOff>
      <xdr:row>6</xdr:row>
      <xdr:rowOff>81337</xdr:rowOff>
    </xdr:from>
    <xdr:to>
      <xdr:col>14</xdr:col>
      <xdr:colOff>214044</xdr:colOff>
      <xdr:row>10</xdr:row>
      <xdr:rowOff>38528</xdr:rowOff>
    </xdr:to>
    <xdr:sp macro="" textlink="'Dashboard2PivotTables '!G10">
      <xdr:nvSpPr>
        <xdr:cNvPr id="12" name="Rectangle: Rounded Corners 11">
          <a:extLst>
            <a:ext uri="{FF2B5EF4-FFF2-40B4-BE49-F238E27FC236}">
              <a16:creationId xmlns:a16="http://schemas.microsoft.com/office/drawing/2014/main" id="{8251002A-ACCA-0B0E-13ED-A21BA16C34E3}"/>
            </a:ext>
          </a:extLst>
        </xdr:cNvPr>
        <xdr:cNvSpPr/>
      </xdr:nvSpPr>
      <xdr:spPr>
        <a:xfrm>
          <a:off x="6532651" y="1168685"/>
          <a:ext cx="2191820" cy="676382"/>
        </a:xfrm>
        <a:prstGeom prst="roundRect">
          <a:avLst/>
        </a:prstGeom>
        <a:effectLst>
          <a:outerShdw blurRad="762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a:t>
          </a:r>
          <a:r>
            <a:rPr lang="en-US" sz="1400" b="1" i="0" u="none" strike="noStrike">
              <a:solidFill>
                <a:srgbClr val="000000"/>
              </a:solidFill>
              <a:latin typeface="Calibri"/>
              <a:ea typeface="Calibri"/>
              <a:cs typeface="Calibri"/>
            </a:rPr>
            <a:t>Highest Profit Product</a:t>
          </a:r>
        </a:p>
        <a:p>
          <a:pPr algn="ctr"/>
          <a:fld id="{166E6664-8D06-4C94-92E2-86A29E367F7E}" type="TxLink">
            <a:rPr lang="en-US" sz="1400" b="1" i="0" u="none" strike="noStrike">
              <a:solidFill>
                <a:srgbClr val="000000"/>
              </a:solidFill>
              <a:latin typeface="Calibri"/>
              <a:ea typeface="Calibri"/>
              <a:cs typeface="Calibri"/>
            </a:rPr>
            <a:pPr algn="ctr"/>
            <a:t>Grocery Pack</a:t>
          </a:fld>
          <a:endParaRPr lang="en-IN" sz="1400" b="1"/>
        </a:p>
      </xdr:txBody>
    </xdr:sp>
    <xdr:clientData/>
  </xdr:twoCellAnchor>
  <xdr:twoCellAnchor>
    <xdr:from>
      <xdr:col>14</xdr:col>
      <xdr:colOff>582202</xdr:colOff>
      <xdr:row>6</xdr:row>
      <xdr:rowOff>81337</xdr:rowOff>
    </xdr:from>
    <xdr:to>
      <xdr:col>18</xdr:col>
      <xdr:colOff>342471</xdr:colOff>
      <xdr:row>10</xdr:row>
      <xdr:rowOff>38528</xdr:rowOff>
    </xdr:to>
    <xdr:sp macro="" textlink="'Dashboard2PivotTables '!H10">
      <xdr:nvSpPr>
        <xdr:cNvPr id="13" name="Rectangle: Rounded Corners 12">
          <a:extLst>
            <a:ext uri="{FF2B5EF4-FFF2-40B4-BE49-F238E27FC236}">
              <a16:creationId xmlns:a16="http://schemas.microsoft.com/office/drawing/2014/main" id="{6F0FB074-4002-B598-2FCE-5B4C67DF9266}"/>
            </a:ext>
          </a:extLst>
        </xdr:cNvPr>
        <xdr:cNvSpPr/>
      </xdr:nvSpPr>
      <xdr:spPr>
        <a:xfrm>
          <a:off x="9092629" y="1168685"/>
          <a:ext cx="2191820" cy="676382"/>
        </a:xfrm>
        <a:prstGeom prst="roundRect">
          <a:avLst/>
        </a:prstGeom>
        <a:effectLst>
          <a:outerShdw blurRad="889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a:t>
          </a:r>
          <a:r>
            <a:rPr lang="en-US" sz="1400" b="1" i="0" u="none" strike="noStrike">
              <a:solidFill>
                <a:srgbClr val="000000"/>
              </a:solidFill>
              <a:latin typeface="Calibri"/>
              <a:ea typeface="Calibri"/>
              <a:cs typeface="Calibri"/>
            </a:rPr>
            <a:t>Average Selling Price</a:t>
          </a:r>
        </a:p>
        <a:p>
          <a:pPr algn="ctr"/>
          <a:fld id="{31556826-51EA-4D42-A730-4EDA11BEB260}" type="TxLink">
            <a:rPr lang="en-US" sz="1400" b="1" i="0" u="none" strike="noStrike">
              <a:solidFill>
                <a:srgbClr val="000000"/>
              </a:solidFill>
              <a:latin typeface="Calibri"/>
              <a:ea typeface="Calibri"/>
              <a:cs typeface="Calibri"/>
            </a:rPr>
            <a:pPr algn="ctr"/>
            <a:t> 6,57,966.17 </a:t>
          </a:fld>
          <a:endParaRPr lang="en-IN" sz="1400" b="1"/>
        </a:p>
      </xdr:txBody>
    </xdr:sp>
    <xdr:clientData/>
  </xdr:twoCellAnchor>
  <xdr:twoCellAnchor>
    <xdr:from>
      <xdr:col>19</xdr:col>
      <xdr:colOff>59933</xdr:colOff>
      <xdr:row>6</xdr:row>
      <xdr:rowOff>47090</xdr:rowOff>
    </xdr:from>
    <xdr:to>
      <xdr:col>22</xdr:col>
      <xdr:colOff>428090</xdr:colOff>
      <xdr:row>10</xdr:row>
      <xdr:rowOff>4281</xdr:rowOff>
    </xdr:to>
    <xdr:sp macro="" textlink="'Dashboard2PivotTables '!I10">
      <xdr:nvSpPr>
        <xdr:cNvPr id="14" name="Rectangle: Rounded Corners 13">
          <a:extLst>
            <a:ext uri="{FF2B5EF4-FFF2-40B4-BE49-F238E27FC236}">
              <a16:creationId xmlns:a16="http://schemas.microsoft.com/office/drawing/2014/main" id="{7487793A-C21A-D4E7-308F-170065AAF89C}"/>
            </a:ext>
          </a:extLst>
        </xdr:cNvPr>
        <xdr:cNvSpPr/>
      </xdr:nvSpPr>
      <xdr:spPr>
        <a:xfrm>
          <a:off x="11609798" y="1134438"/>
          <a:ext cx="2191820" cy="676382"/>
        </a:xfrm>
        <a:prstGeom prst="roundRect">
          <a:avLst/>
        </a:prstGeom>
        <a:effectLst>
          <a:outerShdw blurRad="76200" dist="50800" dir="5400000" sx="107000" sy="107000" algn="ctr" rotWithShape="0">
            <a:srgbClr val="000000">
              <a:alpha val="99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 </a:t>
          </a:r>
          <a:r>
            <a:rPr lang="en-US" sz="1200" b="1" i="0" u="none" strike="noStrike">
              <a:solidFill>
                <a:srgbClr val="000000"/>
              </a:solidFill>
              <a:latin typeface="Calibri"/>
              <a:ea typeface="Calibri"/>
              <a:cs typeface="Calibri"/>
            </a:rPr>
            <a:t>Average Profit Per Product</a:t>
          </a:r>
        </a:p>
        <a:p>
          <a:pPr algn="ctr"/>
          <a:fld id="{76D22EA1-DC9D-4384-B980-A91DD9B40068}" type="TxLink">
            <a:rPr lang="en-US" sz="1200" b="1" i="0" u="none" strike="noStrike">
              <a:solidFill>
                <a:srgbClr val="000000"/>
              </a:solidFill>
              <a:latin typeface="Calibri"/>
              <a:ea typeface="Calibri"/>
              <a:cs typeface="Calibri"/>
            </a:rPr>
            <a:pPr algn="ctr"/>
            <a:t> 3,33,042.17 </a:t>
          </a:fld>
          <a:endParaRPr lang="en-IN" sz="1200" b="1"/>
        </a:p>
      </xdr:txBody>
    </xdr:sp>
    <xdr:clientData/>
  </xdr:twoCellAnchor>
  <xdr:twoCellAnchor editAs="oneCell">
    <xdr:from>
      <xdr:col>19</xdr:col>
      <xdr:colOff>582203</xdr:colOff>
      <xdr:row>19</xdr:row>
      <xdr:rowOff>59932</xdr:rowOff>
    </xdr:from>
    <xdr:to>
      <xdr:col>22</xdr:col>
      <xdr:colOff>376720</xdr:colOff>
      <xdr:row>27</xdr:row>
      <xdr:rowOff>85618</xdr:rowOff>
    </xdr:to>
    <mc:AlternateContent xmlns:mc="http://schemas.openxmlformats.org/markup-compatibility/2006">
      <mc:Choice xmlns:a14="http://schemas.microsoft.com/office/drawing/2010/main" Requires="a14">
        <xdr:graphicFrame macro="">
          <xdr:nvGraphicFramePr>
            <xdr:cNvPr id="16" name="Region 3">
              <a:extLst>
                <a:ext uri="{FF2B5EF4-FFF2-40B4-BE49-F238E27FC236}">
                  <a16:creationId xmlns:a16="http://schemas.microsoft.com/office/drawing/2014/main" id="{CA031DDE-AB85-438C-9A1B-166CE84F34E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2132068" y="3484651"/>
              <a:ext cx="1618180" cy="1464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436652</xdr:colOff>
      <xdr:row>17</xdr:row>
      <xdr:rowOff>59932</xdr:rowOff>
    </xdr:from>
    <xdr:to>
      <xdr:col>24</xdr:col>
      <xdr:colOff>488022</xdr:colOff>
      <xdr:row>22</xdr:row>
      <xdr:rowOff>77057</xdr:rowOff>
    </xdr:to>
    <mc:AlternateContent xmlns:mc="http://schemas.openxmlformats.org/markup-compatibility/2006">
      <mc:Choice xmlns:a14="http://schemas.microsoft.com/office/drawing/2010/main" Requires="a14">
        <xdr:graphicFrame macro="">
          <xdr:nvGraphicFramePr>
            <xdr:cNvPr id="17" name="Product_Name 1">
              <a:extLst>
                <a:ext uri="{FF2B5EF4-FFF2-40B4-BE49-F238E27FC236}">
                  <a16:creationId xmlns:a16="http://schemas.microsoft.com/office/drawing/2014/main" id="{8CA93239-A408-4E5F-8250-1E1588BAFDA8}"/>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13810180" y="3125056"/>
              <a:ext cx="1267145" cy="916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428090</xdr:colOff>
      <xdr:row>10</xdr:row>
      <xdr:rowOff>162673</xdr:rowOff>
    </xdr:from>
    <xdr:to>
      <xdr:col>24</xdr:col>
      <xdr:colOff>470899</xdr:colOff>
      <xdr:row>17</xdr:row>
      <xdr:rowOff>24228</xdr:rowOff>
    </xdr:to>
    <mc:AlternateContent xmlns:mc="http://schemas.openxmlformats.org/markup-compatibility/2006">
      <mc:Choice xmlns:a14="http://schemas.microsoft.com/office/drawing/2010/main" Requires="a14">
        <xdr:graphicFrame macro="">
          <xdr:nvGraphicFramePr>
            <xdr:cNvPr id="18" name="State 3">
              <a:extLst>
                <a:ext uri="{FF2B5EF4-FFF2-40B4-BE49-F238E27FC236}">
                  <a16:creationId xmlns:a16="http://schemas.microsoft.com/office/drawing/2014/main" id="{15D61CD2-086A-4433-B4F9-A165A1C443AD}"/>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dr:sp macro="" textlink="">
          <xdr:nvSpPr>
            <xdr:cNvPr id="0" name=""/>
            <xdr:cNvSpPr>
              <a:spLocks noTextEdit="1"/>
            </xdr:cNvSpPr>
          </xdr:nvSpPr>
          <xdr:spPr>
            <a:xfrm>
              <a:off x="13801618" y="1969212"/>
              <a:ext cx="1258584"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445214</xdr:colOff>
      <xdr:row>22</xdr:row>
      <xdr:rowOff>128427</xdr:rowOff>
    </xdr:from>
    <xdr:to>
      <xdr:col>24</xdr:col>
      <xdr:colOff>496585</xdr:colOff>
      <xdr:row>27</xdr:row>
      <xdr:rowOff>119865</xdr:rowOff>
    </xdr:to>
    <mc:AlternateContent xmlns:mc="http://schemas.openxmlformats.org/markup-compatibility/2006">
      <mc:Choice xmlns:a14="http://schemas.microsoft.com/office/drawing/2010/main" Requires="a14">
        <xdr:graphicFrame macro="">
          <xdr:nvGraphicFramePr>
            <xdr:cNvPr id="19" name="Sales_Channel 3">
              <a:extLst>
                <a:ext uri="{FF2B5EF4-FFF2-40B4-BE49-F238E27FC236}">
                  <a16:creationId xmlns:a16="http://schemas.microsoft.com/office/drawing/2014/main" id="{0D7D77DA-EC38-49C9-A101-00C86753C783}"/>
                </a:ext>
              </a:extLst>
            </xdr:cNvPr>
            <xdr:cNvGraphicFramePr/>
          </xdr:nvGraphicFramePr>
          <xdr:xfrm>
            <a:off x="0" y="0"/>
            <a:ext cx="0" cy="0"/>
          </xdr:xfrm>
          <a:graphic>
            <a:graphicData uri="http://schemas.microsoft.com/office/drawing/2010/slicer">
              <sle:slicer xmlns:sle="http://schemas.microsoft.com/office/drawing/2010/slicer" name="Sales_Channel 3"/>
            </a:graphicData>
          </a:graphic>
        </xdr:graphicFrame>
      </mc:Choice>
      <mc:Fallback>
        <xdr:sp macro="" textlink="">
          <xdr:nvSpPr>
            <xdr:cNvPr id="0" name=""/>
            <xdr:cNvSpPr>
              <a:spLocks noTextEdit="1"/>
            </xdr:cNvSpPr>
          </xdr:nvSpPr>
          <xdr:spPr>
            <a:xfrm>
              <a:off x="13818742" y="4092539"/>
              <a:ext cx="1267146" cy="890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565079</xdr:colOff>
      <xdr:row>11</xdr:row>
      <xdr:rowOff>17123</xdr:rowOff>
    </xdr:from>
    <xdr:to>
      <xdr:col>22</xdr:col>
      <xdr:colOff>376719</xdr:colOff>
      <xdr:row>19</xdr:row>
      <xdr:rowOff>34247</xdr:rowOff>
    </xdr:to>
    <mc:AlternateContent xmlns:mc="http://schemas.openxmlformats.org/markup-compatibility/2006">
      <mc:Choice xmlns:a14="http://schemas.microsoft.com/office/drawing/2010/main" Requires="a14">
        <xdr:graphicFrame macro="">
          <xdr:nvGraphicFramePr>
            <xdr:cNvPr id="20" name="Product_Category 3">
              <a:extLst>
                <a:ext uri="{FF2B5EF4-FFF2-40B4-BE49-F238E27FC236}">
                  <a16:creationId xmlns:a16="http://schemas.microsoft.com/office/drawing/2014/main" id="{D603A917-BB0D-454A-B1DF-545E8DCABC96}"/>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dr:sp macro="" textlink="">
          <xdr:nvSpPr>
            <xdr:cNvPr id="0" name=""/>
            <xdr:cNvSpPr>
              <a:spLocks noTextEdit="1"/>
            </xdr:cNvSpPr>
          </xdr:nvSpPr>
          <xdr:spPr>
            <a:xfrm>
              <a:off x="12114944" y="2003460"/>
              <a:ext cx="1635303" cy="1455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273977</xdr:colOff>
      <xdr:row>1</xdr:row>
      <xdr:rowOff>162674</xdr:rowOff>
    </xdr:from>
    <xdr:to>
      <xdr:col>23</xdr:col>
      <xdr:colOff>488021</xdr:colOff>
      <xdr:row>5</xdr:row>
      <xdr:rowOff>85618</xdr:rowOff>
    </xdr:to>
    <xdr:sp macro="" textlink="">
      <xdr:nvSpPr>
        <xdr:cNvPr id="21" name="Arrow: Right 20">
          <a:hlinkClick xmlns:r="http://schemas.openxmlformats.org/officeDocument/2006/relationships" r:id="rId7"/>
          <a:extLst>
            <a:ext uri="{FF2B5EF4-FFF2-40B4-BE49-F238E27FC236}">
              <a16:creationId xmlns:a16="http://schemas.microsoft.com/office/drawing/2014/main" id="{98CAEB14-2AC0-45A8-87D6-313B32F68467}"/>
            </a:ext>
          </a:extLst>
        </xdr:cNvPr>
        <xdr:cNvSpPr/>
      </xdr:nvSpPr>
      <xdr:spPr>
        <a:xfrm>
          <a:off x="11823842" y="351034"/>
          <a:ext cx="2645595" cy="642135"/>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a:t>Go</a:t>
          </a:r>
          <a:r>
            <a:rPr lang="en-IN" sz="1100" b="1" baseline="0"/>
            <a:t> To Regional Dashboard</a:t>
          </a:r>
          <a:endParaRPr lang="en-IN" sz="1100" b="1"/>
        </a:p>
      </xdr:txBody>
    </xdr:sp>
    <xdr:clientData/>
  </xdr:twoCellAnchor>
  <xdr:twoCellAnchor editAs="oneCell">
    <xdr:from>
      <xdr:col>1</xdr:col>
      <xdr:colOff>590765</xdr:colOff>
      <xdr:row>1</xdr:row>
      <xdr:rowOff>179796</xdr:rowOff>
    </xdr:from>
    <xdr:to>
      <xdr:col>4</xdr:col>
      <xdr:colOff>333910</xdr:colOff>
      <xdr:row>5</xdr:row>
      <xdr:rowOff>17122</xdr:rowOff>
    </xdr:to>
    <xdr:pic>
      <xdr:nvPicPr>
        <xdr:cNvPr id="23" name="Picture 22">
          <a:extLst>
            <a:ext uri="{FF2B5EF4-FFF2-40B4-BE49-F238E27FC236}">
              <a16:creationId xmlns:a16="http://schemas.microsoft.com/office/drawing/2014/main" id="{30F701D9-854C-91D7-DF50-382D9EA6DF3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98653" y="368156"/>
          <a:ext cx="1566808" cy="556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190500</xdr:colOff>
      <xdr:row>1</xdr:row>
      <xdr:rowOff>119350</xdr:rowOff>
    </xdr:from>
    <xdr:to>
      <xdr:col>25</xdr:col>
      <xdr:colOff>523301</xdr:colOff>
      <xdr:row>4</xdr:row>
      <xdr:rowOff>134406</xdr:rowOff>
    </xdr:to>
    <xdr:sp macro="" textlink="">
      <xdr:nvSpPr>
        <xdr:cNvPr id="2" name="Rectangle: Rounded Corners 1">
          <a:extLst>
            <a:ext uri="{FF2B5EF4-FFF2-40B4-BE49-F238E27FC236}">
              <a16:creationId xmlns:a16="http://schemas.microsoft.com/office/drawing/2014/main" id="{21C3B3B6-6360-3BBB-21A3-2748D0A956EE}"/>
            </a:ext>
          </a:extLst>
        </xdr:cNvPr>
        <xdr:cNvSpPr/>
      </xdr:nvSpPr>
      <xdr:spPr>
        <a:xfrm>
          <a:off x="796428" y="312145"/>
          <a:ext cx="14875066" cy="565900"/>
        </a:xfrm>
        <a:prstGeom prst="roundRect">
          <a:avLst/>
        </a:prstGeom>
        <a:solidFill>
          <a:srgbClr val="00206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solidFill>
                <a:schemeClr val="bg1"/>
              </a:solidFill>
              <a:effectLst/>
              <a:latin typeface="+mn-lt"/>
              <a:ea typeface="+mn-ea"/>
              <a:cs typeface="+mn-cs"/>
            </a:rPr>
            <a:t>RELIANCE  INDUSTRIES  </a:t>
          </a:r>
          <a:r>
            <a:rPr lang="en-IN" sz="2400">
              <a:solidFill>
                <a:schemeClr val="bg1"/>
              </a:solidFill>
            </a:rPr>
            <a:t>REGIONAL BUSINESS            </a:t>
          </a:r>
        </a:p>
      </xdr:txBody>
    </xdr:sp>
    <xdr:clientData/>
  </xdr:twoCellAnchor>
  <xdr:twoCellAnchor>
    <xdr:from>
      <xdr:col>1</xdr:col>
      <xdr:colOff>537714</xdr:colOff>
      <xdr:row>5</xdr:row>
      <xdr:rowOff>126006</xdr:rowOff>
    </xdr:from>
    <xdr:to>
      <xdr:col>5</xdr:col>
      <xdr:colOff>293783</xdr:colOff>
      <xdr:row>9</xdr:row>
      <xdr:rowOff>89282</xdr:rowOff>
    </xdr:to>
    <xdr:sp macro="" textlink="Dashboard3PivotTables!E9">
      <xdr:nvSpPr>
        <xdr:cNvPr id="3" name="Rectangle: Rounded Corners 2">
          <a:extLst>
            <a:ext uri="{FF2B5EF4-FFF2-40B4-BE49-F238E27FC236}">
              <a16:creationId xmlns:a16="http://schemas.microsoft.com/office/drawing/2014/main" id="{3614368C-EA28-D1D7-1E6A-FC8187918E7E}"/>
            </a:ext>
          </a:extLst>
        </xdr:cNvPr>
        <xdr:cNvSpPr/>
      </xdr:nvSpPr>
      <xdr:spPr>
        <a:xfrm>
          <a:off x="1143642" y="1053259"/>
          <a:ext cx="2179780" cy="697734"/>
        </a:xfrm>
        <a:prstGeom prst="roundRect">
          <a:avLst/>
        </a:prstGeom>
        <a:effectLst>
          <a:glow rad="101600">
            <a:schemeClr val="accent4">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t>🌍</a:t>
          </a:r>
          <a:r>
            <a:rPr lang="en-US" sz="1400" b="1" i="0" u="none" strike="noStrike">
              <a:solidFill>
                <a:srgbClr val="000000"/>
              </a:solidFill>
              <a:latin typeface="Calibri"/>
              <a:ea typeface="Calibri"/>
              <a:cs typeface="Calibri"/>
            </a:rPr>
            <a:t>Total Regions</a:t>
          </a:r>
        </a:p>
        <a:p>
          <a:pPr algn="ctr"/>
          <a:fld id="{E2F7C406-C860-4124-A85A-25B705EE7E66}" type="TxLink">
            <a:rPr lang="en-US" sz="1400" b="1" i="0" u="none" strike="noStrike">
              <a:solidFill>
                <a:srgbClr val="000000"/>
              </a:solidFill>
              <a:latin typeface="Calibri"/>
              <a:ea typeface="Calibri"/>
              <a:cs typeface="Calibri"/>
            </a:rPr>
            <a:pPr algn="ctr"/>
            <a:t>4</a:t>
          </a:fld>
          <a:endParaRPr lang="en-IN" sz="1400" b="1"/>
        </a:p>
      </xdr:txBody>
    </xdr:sp>
    <xdr:clientData/>
  </xdr:twoCellAnchor>
  <xdr:twoCellAnchor>
    <xdr:from>
      <xdr:col>14</xdr:col>
      <xdr:colOff>446367</xdr:colOff>
      <xdr:row>5</xdr:row>
      <xdr:rowOff>153548</xdr:rowOff>
    </xdr:from>
    <xdr:to>
      <xdr:col>18</xdr:col>
      <xdr:colOff>275422</xdr:colOff>
      <xdr:row>9</xdr:row>
      <xdr:rowOff>61741</xdr:rowOff>
    </xdr:to>
    <xdr:sp macro="" textlink="Dashboard3PivotTables!H9">
      <xdr:nvSpPr>
        <xdr:cNvPr id="4" name="Rectangle: Rounded Corners 3">
          <a:extLst>
            <a:ext uri="{FF2B5EF4-FFF2-40B4-BE49-F238E27FC236}">
              <a16:creationId xmlns:a16="http://schemas.microsoft.com/office/drawing/2014/main" id="{E3665F79-835A-235C-6A8C-8612D07C3984}"/>
            </a:ext>
          </a:extLst>
        </xdr:cNvPr>
        <xdr:cNvSpPr/>
      </xdr:nvSpPr>
      <xdr:spPr>
        <a:xfrm>
          <a:off x="8929355" y="1080801"/>
          <a:ext cx="2252766" cy="642651"/>
        </a:xfrm>
        <a:prstGeom prst="roundRect">
          <a:avLst/>
        </a:prstGeom>
        <a:effectLst>
          <a:glow rad="101600">
            <a:schemeClr val="accent4">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t>📊</a:t>
          </a:r>
          <a:r>
            <a:rPr lang="en-US" sz="1200" b="1" i="0" u="none" strike="noStrike">
              <a:solidFill>
                <a:srgbClr val="000000"/>
              </a:solidFill>
              <a:latin typeface="Calibri"/>
              <a:ea typeface="Calibri"/>
              <a:cs typeface="Calibri"/>
            </a:rPr>
            <a:t>Average</a:t>
          </a:r>
          <a:r>
            <a:rPr lang="en-US" sz="1200" b="1" i="0" u="none" strike="noStrike" baseline="0">
              <a:solidFill>
                <a:srgbClr val="000000"/>
              </a:solidFill>
              <a:latin typeface="Calibri"/>
              <a:ea typeface="Calibri"/>
              <a:cs typeface="Calibri"/>
            </a:rPr>
            <a:t> Regional States</a:t>
          </a:r>
          <a:endParaRPr lang="en-US" sz="1200" b="1" i="0" u="none" strike="noStrike">
            <a:solidFill>
              <a:srgbClr val="000000"/>
            </a:solidFill>
            <a:latin typeface="Calibri"/>
            <a:ea typeface="Calibri"/>
            <a:cs typeface="Calibri"/>
          </a:endParaRPr>
        </a:p>
        <a:p>
          <a:pPr algn="ctr"/>
          <a:fld id="{C9AD9804-581C-44E4-A499-DB199293A98C}" type="TxLink">
            <a:rPr lang="en-US" sz="1200" b="1" i="0" u="none" strike="noStrike">
              <a:solidFill>
                <a:srgbClr val="000000"/>
              </a:solidFill>
              <a:latin typeface="Calibri"/>
              <a:ea typeface="Calibri"/>
              <a:cs typeface="Calibri"/>
            </a:rPr>
            <a:pPr algn="ctr"/>
            <a:t> 6,57,966.17 </a:t>
          </a:fld>
          <a:endParaRPr lang="en-IN" sz="1200" b="1"/>
        </a:p>
      </xdr:txBody>
    </xdr:sp>
    <xdr:clientData/>
  </xdr:twoCellAnchor>
  <xdr:twoCellAnchor>
    <xdr:from>
      <xdr:col>18</xdr:col>
      <xdr:colOff>479601</xdr:colOff>
      <xdr:row>5</xdr:row>
      <xdr:rowOff>128071</xdr:rowOff>
    </xdr:from>
    <xdr:to>
      <xdr:col>22</xdr:col>
      <xdr:colOff>339686</xdr:colOff>
      <xdr:row>9</xdr:row>
      <xdr:rowOff>87217</xdr:rowOff>
    </xdr:to>
    <xdr:sp macro="" textlink="Dashboard3PivotTables!$I$9">
      <xdr:nvSpPr>
        <xdr:cNvPr id="5" name="Rectangle: Rounded Corners 4">
          <a:extLst>
            <a:ext uri="{FF2B5EF4-FFF2-40B4-BE49-F238E27FC236}">
              <a16:creationId xmlns:a16="http://schemas.microsoft.com/office/drawing/2014/main" id="{1CD1EB88-449B-2877-1D8E-536B741CF070}"/>
            </a:ext>
          </a:extLst>
        </xdr:cNvPr>
        <xdr:cNvSpPr/>
      </xdr:nvSpPr>
      <xdr:spPr>
        <a:xfrm>
          <a:off x="11386300" y="1055324"/>
          <a:ext cx="2283796" cy="693604"/>
        </a:xfrm>
        <a:prstGeom prst="roundRect">
          <a:avLst/>
        </a:prstGeom>
        <a:effectLst>
          <a:glow rad="101600">
            <a:schemeClr val="accent4">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a:t>
          </a:r>
          <a:r>
            <a:rPr lang="en-US" sz="1400" b="1" i="0" u="none" strike="noStrike">
              <a:solidFill>
                <a:srgbClr val="000000"/>
              </a:solidFill>
              <a:latin typeface="Calibri"/>
              <a:ea typeface="Calibri"/>
              <a:cs typeface="Calibri"/>
            </a:rPr>
            <a:t>Average Regional Profit</a:t>
          </a:r>
        </a:p>
        <a:p>
          <a:pPr algn="ctr"/>
          <a:fld id="{0339F308-C083-458A-842B-C2CB30EDD7A3}" type="TxLink">
            <a:rPr lang="en-US" sz="1400" b="1" i="0" u="none" strike="noStrike">
              <a:solidFill>
                <a:srgbClr val="000000"/>
              </a:solidFill>
              <a:latin typeface="Calibri"/>
              <a:ea typeface="Calibri"/>
              <a:cs typeface="Calibri"/>
            </a:rPr>
            <a:pPr algn="ctr"/>
            <a:t> 3,33,042.17 </a:t>
          </a:fld>
          <a:endParaRPr lang="en-IN" sz="1400" b="1"/>
        </a:p>
      </xdr:txBody>
    </xdr:sp>
    <xdr:clientData/>
  </xdr:twoCellAnchor>
  <xdr:twoCellAnchor>
    <xdr:from>
      <xdr:col>6</xdr:col>
      <xdr:colOff>128989</xdr:colOff>
      <xdr:row>5</xdr:row>
      <xdr:rowOff>119671</xdr:rowOff>
    </xdr:from>
    <xdr:to>
      <xdr:col>9</xdr:col>
      <xdr:colOff>560024</xdr:colOff>
      <xdr:row>9</xdr:row>
      <xdr:rowOff>95617</xdr:rowOff>
    </xdr:to>
    <xdr:sp macro="" textlink="Dashboard3PivotTables!F9">
      <xdr:nvSpPr>
        <xdr:cNvPr id="6" name="Rectangle: Rounded Corners 5">
          <a:extLst>
            <a:ext uri="{FF2B5EF4-FFF2-40B4-BE49-F238E27FC236}">
              <a16:creationId xmlns:a16="http://schemas.microsoft.com/office/drawing/2014/main" id="{0A5A9D6E-3018-AA35-5187-FD96E6AA7CFB}"/>
            </a:ext>
          </a:extLst>
        </xdr:cNvPr>
        <xdr:cNvSpPr/>
      </xdr:nvSpPr>
      <xdr:spPr>
        <a:xfrm>
          <a:off x="3764555" y="1046924"/>
          <a:ext cx="2248818" cy="710404"/>
        </a:xfrm>
        <a:prstGeom prst="roundRect">
          <a:avLst/>
        </a:prstGeom>
        <a:effectLst>
          <a:glow rad="101600">
            <a:schemeClr val="accent4">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a:t>
          </a:r>
          <a:r>
            <a:rPr lang="en-US" sz="1400" b="1" i="0" u="none" strike="noStrike">
              <a:solidFill>
                <a:srgbClr val="000000"/>
              </a:solidFill>
              <a:latin typeface="Calibri"/>
              <a:ea typeface="Calibri"/>
              <a:cs typeface="Calibri"/>
            </a:rPr>
            <a:t>Best</a:t>
          </a:r>
          <a:r>
            <a:rPr lang="en-US" sz="1400" b="1" i="0" u="none" strike="noStrike" baseline="0">
              <a:solidFill>
                <a:srgbClr val="000000"/>
              </a:solidFill>
              <a:latin typeface="Calibri"/>
              <a:ea typeface="Calibri"/>
              <a:cs typeface="Calibri"/>
            </a:rPr>
            <a:t> Performing Region</a:t>
          </a:r>
          <a:endParaRPr lang="en-US" sz="1400" b="1" i="0" u="none" strike="noStrike">
            <a:solidFill>
              <a:srgbClr val="000000"/>
            </a:solidFill>
            <a:latin typeface="Calibri"/>
            <a:ea typeface="Calibri"/>
            <a:cs typeface="Calibri"/>
          </a:endParaRPr>
        </a:p>
        <a:p>
          <a:pPr algn="ctr"/>
          <a:fld id="{F62FAA7D-3009-4A96-88F6-3348E6E983D5}" type="TxLink">
            <a:rPr lang="en-US" sz="1400" b="1" i="0" u="none" strike="noStrike">
              <a:solidFill>
                <a:srgbClr val="000000"/>
              </a:solidFill>
              <a:latin typeface="Calibri"/>
              <a:ea typeface="Calibri"/>
              <a:cs typeface="Calibri"/>
            </a:rPr>
            <a:pPr algn="ctr"/>
            <a:t>West</a:t>
          </a:fld>
          <a:endParaRPr lang="en-IN" sz="1400" b="1"/>
        </a:p>
      </xdr:txBody>
    </xdr:sp>
    <xdr:clientData/>
  </xdr:twoCellAnchor>
  <xdr:twoCellAnchor>
    <xdr:from>
      <xdr:col>10</xdr:col>
      <xdr:colOff>275423</xdr:colOff>
      <xdr:row>5</xdr:row>
      <xdr:rowOff>125042</xdr:rowOff>
    </xdr:from>
    <xdr:to>
      <xdr:col>14</xdr:col>
      <xdr:colOff>45904</xdr:colOff>
      <xdr:row>9</xdr:row>
      <xdr:rowOff>90246</xdr:rowOff>
    </xdr:to>
    <xdr:sp macro="" textlink="Dashboard3PivotTables!G9">
      <xdr:nvSpPr>
        <xdr:cNvPr id="7" name="Rectangle: Rounded Corners 6">
          <a:extLst>
            <a:ext uri="{FF2B5EF4-FFF2-40B4-BE49-F238E27FC236}">
              <a16:creationId xmlns:a16="http://schemas.microsoft.com/office/drawing/2014/main" id="{5CD94B3D-151C-8F94-FE0E-7CE88A91AFF5}"/>
            </a:ext>
          </a:extLst>
        </xdr:cNvPr>
        <xdr:cNvSpPr/>
      </xdr:nvSpPr>
      <xdr:spPr>
        <a:xfrm>
          <a:off x="6334700" y="1052295"/>
          <a:ext cx="2194192" cy="699662"/>
        </a:xfrm>
        <a:prstGeom prst="roundRect">
          <a:avLst/>
        </a:prstGeom>
        <a:effectLst>
          <a:glow rad="101600">
            <a:schemeClr val="accent4">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t>🗺️</a:t>
          </a: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States</a:t>
          </a:r>
          <a:endParaRPr lang="en-US" sz="1600" b="1" i="0" u="none" strike="noStrike">
            <a:solidFill>
              <a:srgbClr val="000000"/>
            </a:solidFill>
            <a:latin typeface="Calibri"/>
            <a:ea typeface="Calibri"/>
            <a:cs typeface="Calibri"/>
          </a:endParaRPr>
        </a:p>
        <a:p>
          <a:pPr algn="ctr"/>
          <a:fld id="{C2F5EB63-5758-4188-88BC-3CE8A301AD85}" type="TxLink">
            <a:rPr lang="en-US" sz="1600" b="1" i="0" u="none" strike="noStrike">
              <a:solidFill>
                <a:srgbClr val="000000"/>
              </a:solidFill>
              <a:latin typeface="Calibri"/>
              <a:ea typeface="Calibri"/>
              <a:cs typeface="Calibri"/>
            </a:rPr>
            <a:pPr algn="ctr"/>
            <a:t>16</a:t>
          </a:fld>
          <a:endParaRPr lang="en-IN" sz="1600" b="1"/>
        </a:p>
      </xdr:txBody>
    </xdr:sp>
    <xdr:clientData/>
  </xdr:twoCellAnchor>
  <xdr:twoCellAnchor>
    <xdr:from>
      <xdr:col>1</xdr:col>
      <xdr:colOff>344093</xdr:colOff>
      <xdr:row>10</xdr:row>
      <xdr:rowOff>76200</xdr:rowOff>
    </xdr:from>
    <xdr:to>
      <xdr:col>7</xdr:col>
      <xdr:colOff>55084</xdr:colOff>
      <xdr:row>19</xdr:row>
      <xdr:rowOff>55084</xdr:rowOff>
    </xdr:to>
    <xdr:graphicFrame macro="">
      <xdr:nvGraphicFramePr>
        <xdr:cNvPr id="8" name="Chart 7">
          <a:extLst>
            <a:ext uri="{FF2B5EF4-FFF2-40B4-BE49-F238E27FC236}">
              <a16:creationId xmlns:a16="http://schemas.microsoft.com/office/drawing/2014/main" id="{5F9497EB-E147-4688-8A3B-79CA32AEA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333352</xdr:colOff>
      <xdr:row>19</xdr:row>
      <xdr:rowOff>102182</xdr:rowOff>
    </xdr:from>
    <xdr:to>
      <xdr:col>7</xdr:col>
      <xdr:colOff>45904</xdr:colOff>
      <xdr:row>28</xdr:row>
      <xdr:rowOff>165253</xdr:rowOff>
    </xdr:to>
    <xdr:graphicFrame macro="">
      <xdr:nvGraphicFramePr>
        <xdr:cNvPr id="9" name="Chart 8">
          <a:extLst>
            <a:ext uri="{FF2B5EF4-FFF2-40B4-BE49-F238E27FC236}">
              <a16:creationId xmlns:a16="http://schemas.microsoft.com/office/drawing/2014/main" id="{796C0D10-9BFC-4CDF-A889-D14BF0A3D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100254</xdr:colOff>
      <xdr:row>10</xdr:row>
      <xdr:rowOff>65460</xdr:rowOff>
    </xdr:from>
    <xdr:to>
      <xdr:col>14</xdr:col>
      <xdr:colOff>413132</xdr:colOff>
      <xdr:row>19</xdr:row>
      <xdr:rowOff>64266</xdr:rowOff>
    </xdr:to>
    <xdr:graphicFrame macro="">
      <xdr:nvGraphicFramePr>
        <xdr:cNvPr id="10" name="Chart 9">
          <a:extLst>
            <a:ext uri="{FF2B5EF4-FFF2-40B4-BE49-F238E27FC236}">
              <a16:creationId xmlns:a16="http://schemas.microsoft.com/office/drawing/2014/main" id="{D48D2C22-387B-4BF9-85AA-F2B27EE49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82627</xdr:colOff>
      <xdr:row>19</xdr:row>
      <xdr:rowOff>91807</xdr:rowOff>
    </xdr:from>
    <xdr:to>
      <xdr:col>14</xdr:col>
      <xdr:colOff>422313</xdr:colOff>
      <xdr:row>28</xdr:row>
      <xdr:rowOff>165253</xdr:rowOff>
    </xdr:to>
    <xdr:graphicFrame macro="">
      <xdr:nvGraphicFramePr>
        <xdr:cNvPr id="11" name="Chart 10">
          <a:extLst>
            <a:ext uri="{FF2B5EF4-FFF2-40B4-BE49-F238E27FC236}">
              <a16:creationId xmlns:a16="http://schemas.microsoft.com/office/drawing/2014/main" id="{374C5E8F-D5D6-4134-A987-E5ADE5744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449857</xdr:colOff>
      <xdr:row>10</xdr:row>
      <xdr:rowOff>55083</xdr:rowOff>
    </xdr:from>
    <xdr:to>
      <xdr:col>21</xdr:col>
      <xdr:colOff>128531</xdr:colOff>
      <xdr:row>19</xdr:row>
      <xdr:rowOff>64265</xdr:rowOff>
    </xdr:to>
    <xdr:graphicFrame macro="">
      <xdr:nvGraphicFramePr>
        <xdr:cNvPr id="12" name="Chart 11">
          <a:extLst>
            <a:ext uri="{FF2B5EF4-FFF2-40B4-BE49-F238E27FC236}">
              <a16:creationId xmlns:a16="http://schemas.microsoft.com/office/drawing/2014/main" id="{CDD8CA29-3AE6-48F6-A024-2B7E72D26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449855</xdr:colOff>
      <xdr:row>19</xdr:row>
      <xdr:rowOff>119349</xdr:rowOff>
    </xdr:from>
    <xdr:to>
      <xdr:col>21</xdr:col>
      <xdr:colOff>128530</xdr:colOff>
      <xdr:row>28</xdr:row>
      <xdr:rowOff>174434</xdr:rowOff>
    </xdr:to>
    <xdr:graphicFrame macro="">
      <xdr:nvGraphicFramePr>
        <xdr:cNvPr id="13" name="Chart 12">
          <a:extLst>
            <a:ext uri="{FF2B5EF4-FFF2-40B4-BE49-F238E27FC236}">
              <a16:creationId xmlns:a16="http://schemas.microsoft.com/office/drawing/2014/main" id="{1C9FF845-D4D1-4864-8BB2-804AB28EE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183614</xdr:colOff>
      <xdr:row>20</xdr:row>
      <xdr:rowOff>110170</xdr:rowOff>
    </xdr:from>
    <xdr:to>
      <xdr:col>26</xdr:col>
      <xdr:colOff>449856</xdr:colOff>
      <xdr:row>28</xdr:row>
      <xdr:rowOff>110168</xdr:rowOff>
    </xdr:to>
    <mc:AlternateContent xmlns:mc="http://schemas.openxmlformats.org/markup-compatibility/2006">
      <mc:Choice xmlns:a14="http://schemas.microsoft.com/office/drawing/2010/main" Requires="a14">
        <xdr:graphicFrame macro="">
          <xdr:nvGraphicFramePr>
            <xdr:cNvPr id="14" name="Product_Category 5">
              <a:extLst>
                <a:ext uri="{FF2B5EF4-FFF2-40B4-BE49-F238E27FC236}">
                  <a16:creationId xmlns:a16="http://schemas.microsoft.com/office/drawing/2014/main" id="{2F7C3066-A6AC-47E5-A705-139D9C29595B}"/>
                </a:ext>
              </a:extLst>
            </xdr:cNvPr>
            <xdr:cNvGraphicFramePr/>
          </xdr:nvGraphicFramePr>
          <xdr:xfrm>
            <a:off x="0" y="0"/>
            <a:ext cx="0" cy="0"/>
          </xdr:xfrm>
          <a:graphic>
            <a:graphicData uri="http://schemas.microsoft.com/office/drawing/2010/slicer">
              <sle:slicer xmlns:sle="http://schemas.microsoft.com/office/drawing/2010/slicer" name="Product_Category 5"/>
            </a:graphicData>
          </a:graphic>
        </xdr:graphicFrame>
      </mc:Choice>
      <mc:Fallback>
        <xdr:sp macro="" textlink="">
          <xdr:nvSpPr>
            <xdr:cNvPr id="0" name=""/>
            <xdr:cNvSpPr>
              <a:spLocks noTextEdit="1"/>
            </xdr:cNvSpPr>
          </xdr:nvSpPr>
          <xdr:spPr>
            <a:xfrm>
              <a:off x="14725879" y="3791640"/>
              <a:ext cx="1478097" cy="1468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587566</xdr:colOff>
      <xdr:row>5</xdr:row>
      <xdr:rowOff>100987</xdr:rowOff>
    </xdr:from>
    <xdr:to>
      <xdr:col>26</xdr:col>
      <xdr:colOff>373656</xdr:colOff>
      <xdr:row>10</xdr:row>
      <xdr:rowOff>82075</xdr:rowOff>
    </xdr:to>
    <mc:AlternateContent xmlns:mc="http://schemas.openxmlformats.org/markup-compatibility/2006">
      <mc:Choice xmlns:a14="http://schemas.microsoft.com/office/drawing/2010/main" Requires="a14">
        <xdr:graphicFrame macro="">
          <xdr:nvGraphicFramePr>
            <xdr:cNvPr id="15" name="Years (Order_Date) 1">
              <a:extLst>
                <a:ext uri="{FF2B5EF4-FFF2-40B4-BE49-F238E27FC236}">
                  <a16:creationId xmlns:a16="http://schemas.microsoft.com/office/drawing/2014/main" id="{25DCE91F-69B3-491F-A659-F17B05C61636}"/>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13917976" y="1028240"/>
              <a:ext cx="2209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257060</xdr:colOff>
      <xdr:row>20</xdr:row>
      <xdr:rowOff>119349</xdr:rowOff>
    </xdr:from>
    <xdr:to>
      <xdr:col>24</xdr:col>
      <xdr:colOff>165253</xdr:colOff>
      <xdr:row>28</xdr:row>
      <xdr:rowOff>92358</xdr:rowOff>
    </xdr:to>
    <mc:AlternateContent xmlns:mc="http://schemas.openxmlformats.org/markup-compatibility/2006">
      <mc:Choice xmlns:a14="http://schemas.microsoft.com/office/drawing/2010/main" Requires="a14">
        <xdr:graphicFrame macro="">
          <xdr:nvGraphicFramePr>
            <xdr:cNvPr id="16" name="Sales_Channel 5">
              <a:extLst>
                <a:ext uri="{FF2B5EF4-FFF2-40B4-BE49-F238E27FC236}">
                  <a16:creationId xmlns:a16="http://schemas.microsoft.com/office/drawing/2014/main" id="{5C29CB49-BC6B-4076-8346-9C75AF2F46AB}"/>
                </a:ext>
              </a:extLst>
            </xdr:cNvPr>
            <xdr:cNvGraphicFramePr/>
          </xdr:nvGraphicFramePr>
          <xdr:xfrm>
            <a:off x="0" y="0"/>
            <a:ext cx="0" cy="0"/>
          </xdr:xfrm>
          <a:graphic>
            <a:graphicData uri="http://schemas.microsoft.com/office/drawing/2010/slicer">
              <sle:slicer xmlns:sle="http://schemas.microsoft.com/office/drawing/2010/slicer" name="Sales_Channel 5"/>
            </a:graphicData>
          </a:graphic>
        </xdr:graphicFrame>
      </mc:Choice>
      <mc:Fallback>
        <xdr:sp macro="" textlink="">
          <xdr:nvSpPr>
            <xdr:cNvPr id="0" name=""/>
            <xdr:cNvSpPr>
              <a:spLocks noTextEdit="1"/>
            </xdr:cNvSpPr>
          </xdr:nvSpPr>
          <xdr:spPr>
            <a:xfrm>
              <a:off x="12981542" y="3800819"/>
              <a:ext cx="1725976" cy="1441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257059</xdr:colOff>
      <xdr:row>10</xdr:row>
      <xdr:rowOff>156074</xdr:rowOff>
    </xdr:from>
    <xdr:to>
      <xdr:col>24</xdr:col>
      <xdr:colOff>176269</xdr:colOff>
      <xdr:row>20</xdr:row>
      <xdr:rowOff>64265</xdr:rowOff>
    </xdr:to>
    <mc:AlternateContent xmlns:mc="http://schemas.openxmlformats.org/markup-compatibility/2006">
      <mc:Choice xmlns:a14="http://schemas.microsoft.com/office/drawing/2010/main" Requires="a14">
        <xdr:graphicFrame macro="">
          <xdr:nvGraphicFramePr>
            <xdr:cNvPr id="17" name="Region 5">
              <a:extLst>
                <a:ext uri="{FF2B5EF4-FFF2-40B4-BE49-F238E27FC236}">
                  <a16:creationId xmlns:a16="http://schemas.microsoft.com/office/drawing/2014/main" id="{13614D8C-F40F-4A33-9242-F1ED6DDA2495}"/>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12981541" y="2001399"/>
              <a:ext cx="1736993" cy="1744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192796</xdr:colOff>
      <xdr:row>10</xdr:row>
      <xdr:rowOff>174434</xdr:rowOff>
    </xdr:from>
    <xdr:to>
      <xdr:col>26</xdr:col>
      <xdr:colOff>413133</xdr:colOff>
      <xdr:row>20</xdr:row>
      <xdr:rowOff>73447</xdr:rowOff>
    </xdr:to>
    <mc:AlternateContent xmlns:mc="http://schemas.openxmlformats.org/markup-compatibility/2006">
      <mc:Choice xmlns:a14="http://schemas.microsoft.com/office/drawing/2010/main" Requires="a14">
        <xdr:graphicFrame macro="">
          <xdr:nvGraphicFramePr>
            <xdr:cNvPr id="18" name="State 5">
              <a:extLst>
                <a:ext uri="{FF2B5EF4-FFF2-40B4-BE49-F238E27FC236}">
                  <a16:creationId xmlns:a16="http://schemas.microsoft.com/office/drawing/2014/main" id="{FBED636C-DA1D-44EF-B928-DC5E60EEBD6A}"/>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dr:sp macro="" textlink="">
          <xdr:nvSpPr>
            <xdr:cNvPr id="0" name=""/>
            <xdr:cNvSpPr>
              <a:spLocks noTextEdit="1"/>
            </xdr:cNvSpPr>
          </xdr:nvSpPr>
          <xdr:spPr>
            <a:xfrm>
              <a:off x="14735061" y="2019759"/>
              <a:ext cx="1432192" cy="1735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73448</xdr:colOff>
      <xdr:row>2</xdr:row>
      <xdr:rowOff>18360</xdr:rowOff>
    </xdr:from>
    <xdr:to>
      <xdr:col>3</xdr:col>
      <xdr:colOff>514121</xdr:colOff>
      <xdr:row>4</xdr:row>
      <xdr:rowOff>100988</xdr:rowOff>
    </xdr:to>
    <xdr:pic>
      <xdr:nvPicPr>
        <xdr:cNvPr id="20" name="Picture 19">
          <a:extLst>
            <a:ext uri="{FF2B5EF4-FFF2-40B4-BE49-F238E27FC236}">
              <a16:creationId xmlns:a16="http://schemas.microsoft.com/office/drawing/2014/main" id="{2BF44B12-250B-D171-C53F-3E1E78673B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85303" y="394770"/>
          <a:ext cx="1046601" cy="44985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gati" refreshedDate="46204.416051273147" createdVersion="8" refreshedVersion="8" minRefreshableVersion="3" recordCount="600" xr:uid="{163ABF56-700D-45E6-9B6E-F87CBAC82F83}">
  <cacheSource type="worksheet">
    <worksheetSource name="Sales_data"/>
  </cacheSource>
  <cacheFields count="15">
    <cacheField name="Order_ID" numFmtId="0">
      <sharedItems containsSemiMixedTypes="0" containsString="0" containsNumber="1" containsInteger="1" minValue="1" maxValue="600"/>
    </cacheField>
    <cacheField name="Order_Date" numFmtId="164">
      <sharedItems containsSemiMixedTypes="0" containsNonDate="0" containsDate="1" containsString="0" minDate="2023-01-01T00:00:00" maxDate="2024-01-02T00:00:00" count="295">
        <d v="2023-11-13T00:00:00"/>
        <d v="2023-04-25T00:00:00"/>
        <d v="2023-12-04T00:00:00"/>
        <d v="2023-01-24T00:00:00"/>
        <d v="2023-04-11T00:00:00"/>
        <d v="2023-02-25T00:00:00"/>
        <d v="2023-09-16T00:00:00"/>
        <d v="2023-12-21T00:00:00"/>
        <d v="2023-08-03T00:00:00"/>
        <d v="2023-03-12T00:00:00"/>
        <d v="2024-01-01T00:00:00"/>
        <d v="2023-06-30T00:00:00"/>
        <d v="2023-02-24T00:00:00"/>
        <d v="2023-05-27T00:00:00"/>
        <d v="2023-07-03T00:00:00"/>
        <d v="2023-05-28T00:00:00"/>
        <d v="2023-01-07T00:00:00"/>
        <d v="2023-11-05T00:00:00"/>
        <d v="2023-09-21T00:00:00"/>
        <d v="2023-10-27T00:00:00"/>
        <d v="2023-06-15T00:00:00"/>
        <d v="2023-06-12T00:00:00"/>
        <d v="2023-07-26T00:00:00"/>
        <d v="2023-04-22T00:00:00"/>
        <d v="2023-11-25T00:00:00"/>
        <d v="2023-10-04T00:00:00"/>
        <d v="2023-11-30T00:00:00"/>
        <d v="2023-01-04T00:00:00"/>
        <d v="2023-12-26T00:00:00"/>
        <d v="2023-06-19T00:00:00"/>
        <d v="2023-10-22T00:00:00"/>
        <d v="2023-07-27T00:00:00"/>
        <d v="2023-06-04T00:00:00"/>
        <d v="2023-08-31T00:00:00"/>
        <d v="2023-06-02T00:00:00"/>
        <d v="2023-11-02T00:00:00"/>
        <d v="2023-11-27T00:00:00"/>
        <d v="2023-04-10T00:00:00"/>
        <d v="2023-02-04T00:00:00"/>
        <d v="2023-12-02T00:00:00"/>
        <d v="2023-06-18T00:00:00"/>
        <d v="2023-01-03T00:00:00"/>
        <d v="2023-02-09T00:00:00"/>
        <d v="2023-05-14T00:00:00"/>
        <d v="2023-05-29T00:00:00"/>
        <d v="2023-12-06T00:00:00"/>
        <d v="2023-10-17T00:00:00"/>
        <d v="2023-02-02T00:00:00"/>
        <d v="2023-08-21T00:00:00"/>
        <d v="2023-10-24T00:00:00"/>
        <d v="2023-09-04T00:00:00"/>
        <d v="2023-03-02T00:00:00"/>
        <d v="2023-09-03T00:00:00"/>
        <d v="2023-10-21T00:00:00"/>
        <d v="2023-04-03T00:00:00"/>
        <d v="2023-11-07T00:00:00"/>
        <d v="2023-11-16T00:00:00"/>
        <d v="2023-02-05T00:00:00"/>
        <d v="2023-11-04T00:00:00"/>
        <d v="2023-09-29T00:00:00"/>
        <d v="2023-12-23T00:00:00"/>
        <d v="2023-05-26T00:00:00"/>
        <d v="2023-07-29T00:00:00"/>
        <d v="2023-10-14T00:00:00"/>
        <d v="2023-06-23T00:00:00"/>
        <d v="2023-08-30T00:00:00"/>
        <d v="2023-11-08T00:00:00"/>
        <d v="2023-08-13T00:00:00"/>
        <d v="2023-09-22T00:00:00"/>
        <d v="2023-01-01T00:00:00"/>
        <d v="2023-04-13T00:00:00"/>
        <d v="2023-04-26T00:00:00"/>
        <d v="2023-09-17T00:00:00"/>
        <d v="2023-10-03T00:00:00"/>
        <d v="2023-08-23T00:00:00"/>
        <d v="2023-07-15T00:00:00"/>
        <d v="2023-10-02T00:00:00"/>
        <d v="2023-06-25T00:00:00"/>
        <d v="2023-05-18T00:00:00"/>
        <d v="2023-04-28T00:00:00"/>
        <d v="2023-09-10T00:00:00"/>
        <d v="2023-10-23T00:00:00"/>
        <d v="2023-07-21T00:00:00"/>
        <d v="2023-04-06T00:00:00"/>
        <d v="2023-09-13T00:00:00"/>
        <d v="2023-03-10T00:00:00"/>
        <d v="2023-01-25T00:00:00"/>
        <d v="2023-11-19T00:00:00"/>
        <d v="2023-10-13T00:00:00"/>
        <d v="2023-09-19T00:00:00"/>
        <d v="2023-03-16T00:00:00"/>
        <d v="2023-03-24T00:00:00"/>
        <d v="2023-07-22T00:00:00"/>
        <d v="2023-01-12T00:00:00"/>
        <d v="2023-02-22T00:00:00"/>
        <d v="2023-02-23T00:00:00"/>
        <d v="2023-06-16T00:00:00"/>
        <d v="2023-04-01T00:00:00"/>
        <d v="2023-04-27T00:00:00"/>
        <d v="2023-06-05T00:00:00"/>
        <d v="2023-01-05T00:00:00"/>
        <d v="2023-08-05T00:00:00"/>
        <d v="2023-11-15T00:00:00"/>
        <d v="2023-03-19T00:00:00"/>
        <d v="2023-08-26T00:00:00"/>
        <d v="2023-02-06T00:00:00"/>
        <d v="2023-02-18T00:00:00"/>
        <d v="2023-01-22T00:00:00"/>
        <d v="2023-04-12T00:00:00"/>
        <d v="2023-10-25T00:00:00"/>
        <d v="2023-06-27T00:00:00"/>
        <d v="2023-03-21T00:00:00"/>
        <d v="2023-07-14T00:00:00"/>
        <d v="2023-04-14T00:00:00"/>
        <d v="2023-09-27T00:00:00"/>
        <d v="2023-01-30T00:00:00"/>
        <d v="2023-09-23T00:00:00"/>
        <d v="2023-12-03T00:00:00"/>
        <d v="2023-11-21T00:00:00"/>
        <d v="2023-05-11T00:00:00"/>
        <d v="2023-01-09T00:00:00"/>
        <d v="2023-10-20T00:00:00"/>
        <d v="2023-12-20T00:00:00"/>
        <d v="2023-06-21T00:00:00"/>
        <d v="2023-12-24T00:00:00"/>
        <d v="2023-01-26T00:00:00"/>
        <d v="2023-03-11T00:00:00"/>
        <d v="2023-09-26T00:00:00"/>
        <d v="2023-02-15T00:00:00"/>
        <d v="2023-11-01T00:00:00"/>
        <d v="2023-02-13T00:00:00"/>
        <d v="2023-02-26T00:00:00"/>
        <d v="2023-04-19T00:00:00"/>
        <d v="2023-12-09T00:00:00"/>
        <d v="2023-05-19T00:00:00"/>
        <d v="2023-09-18T00:00:00"/>
        <d v="2023-03-22T00:00:00"/>
        <d v="2023-05-22T00:00:00"/>
        <d v="2023-06-24T00:00:00"/>
        <d v="2023-11-10T00:00:00"/>
        <d v="2023-12-19T00:00:00"/>
        <d v="2023-07-30T00:00:00"/>
        <d v="2023-04-05T00:00:00"/>
        <d v="2023-07-31T00:00:00"/>
        <d v="2023-09-08T00:00:00"/>
        <d v="2023-05-06T00:00:00"/>
        <d v="2023-08-14T00:00:00"/>
        <d v="2023-01-28T00:00:00"/>
        <d v="2023-02-27T00:00:00"/>
        <d v="2023-01-13T00:00:00"/>
        <d v="2023-06-08T00:00:00"/>
        <d v="2023-02-10T00:00:00"/>
        <d v="2023-01-29T00:00:00"/>
        <d v="2023-08-07T00:00:00"/>
        <d v="2023-05-21T00:00:00"/>
        <d v="2023-04-30T00:00:00"/>
        <d v="2023-06-03T00:00:00"/>
        <d v="2023-10-19T00:00:00"/>
        <d v="2023-12-14T00:00:00"/>
        <d v="2023-03-18T00:00:00"/>
        <d v="2023-03-01T00:00:00"/>
        <d v="2023-05-02T00:00:00"/>
        <d v="2023-07-11T00:00:00"/>
        <d v="2023-03-20T00:00:00"/>
        <d v="2023-12-13T00:00:00"/>
        <d v="2023-09-24T00:00:00"/>
        <d v="2023-10-31T00:00:00"/>
        <d v="2023-12-10T00:00:00"/>
        <d v="2023-02-19T00:00:00"/>
        <d v="2023-05-13T00:00:00"/>
        <d v="2023-01-16T00:00:00"/>
        <d v="2023-06-28T00:00:00"/>
        <d v="2023-11-29T00:00:00"/>
        <d v="2023-05-05T00:00:00"/>
        <d v="2023-10-30T00:00:00"/>
        <d v="2023-08-16T00:00:00"/>
        <d v="2023-10-07T00:00:00"/>
        <d v="2023-09-07T00:00:00"/>
        <d v="2023-11-06T00:00:00"/>
        <d v="2023-07-16T00:00:00"/>
        <d v="2023-12-31T00:00:00"/>
        <d v="2023-12-27T00:00:00"/>
        <d v="2023-08-29T00:00:00"/>
        <d v="2023-03-27T00:00:00"/>
        <d v="2023-12-25T00:00:00"/>
        <d v="2023-07-19T00:00:00"/>
        <d v="2023-05-20T00:00:00"/>
        <d v="2023-05-04T00:00:00"/>
        <d v="2023-12-11T00:00:00"/>
        <d v="2023-06-29T00:00:00"/>
        <d v="2023-07-12T00:00:00"/>
        <d v="2023-12-05T00:00:00"/>
        <d v="2023-01-31T00:00:00"/>
        <d v="2023-07-20T00:00:00"/>
        <d v="2023-02-11T00:00:00"/>
        <d v="2023-11-20T00:00:00"/>
        <d v="2023-05-03T00:00:00"/>
        <d v="2023-09-25T00:00:00"/>
        <d v="2023-09-12T00:00:00"/>
        <d v="2023-07-25T00:00:00"/>
        <d v="2023-10-11T00:00:00"/>
        <d v="2023-05-01T00:00:00"/>
        <d v="2023-05-09T00:00:00"/>
        <d v="2023-09-06T00:00:00"/>
        <d v="2023-01-17T00:00:00"/>
        <d v="2023-01-08T00:00:00"/>
        <d v="2023-04-24T00:00:00"/>
        <d v="2023-06-20T00:00:00"/>
        <d v="2023-11-14T00:00:00"/>
        <d v="2023-08-27T00:00:00"/>
        <d v="2023-04-15T00:00:00"/>
        <d v="2023-06-14T00:00:00"/>
        <d v="2023-06-26T00:00:00"/>
        <d v="2023-07-08T00:00:00"/>
        <d v="2023-03-09T00:00:00"/>
        <d v="2023-06-17T00:00:00"/>
        <d v="2023-08-22T00:00:00"/>
        <d v="2023-03-06T00:00:00"/>
        <d v="2023-07-09T00:00:00"/>
        <d v="2023-10-15T00:00:00"/>
        <d v="2023-08-06T00:00:00"/>
        <d v="2023-08-01T00:00:00"/>
        <d v="2023-01-02T00:00:00"/>
        <d v="2023-09-09T00:00:00"/>
        <d v="2023-07-05T00:00:00"/>
        <d v="2023-08-25T00:00:00"/>
        <d v="2023-11-22T00:00:00"/>
        <d v="2023-11-18T00:00:00"/>
        <d v="2023-05-25T00:00:00"/>
        <d v="2023-09-15T00:00:00"/>
        <d v="2023-12-22T00:00:00"/>
        <d v="2023-10-29T00:00:00"/>
        <d v="2023-04-20T00:00:00"/>
        <d v="2023-12-12T00:00:00"/>
        <d v="2023-05-23T00:00:00"/>
        <d v="2023-01-14T00:00:00"/>
        <d v="2023-02-01T00:00:00"/>
        <d v="2023-06-22T00:00:00"/>
        <d v="2023-10-18T00:00:00"/>
        <d v="2023-04-16T00:00:00"/>
        <d v="2023-03-17T00:00:00"/>
        <d v="2023-02-12T00:00:00"/>
        <d v="2023-03-13T00:00:00"/>
        <d v="2023-05-07T00:00:00"/>
        <d v="2023-11-26T00:00:00"/>
        <d v="2023-06-06T00:00:00"/>
        <d v="2023-03-28T00:00:00"/>
        <d v="2023-03-29T00:00:00"/>
        <d v="2023-08-09T00:00:00"/>
        <d v="2023-05-08T00:00:00"/>
        <d v="2023-11-03T00:00:00"/>
        <d v="2023-05-15T00:00:00"/>
        <d v="2023-09-11T00:00:00"/>
        <d v="2023-12-29T00:00:00"/>
        <d v="2023-04-02T00:00:00"/>
        <d v="2023-12-17T00:00:00"/>
        <d v="2023-07-18T00:00:00"/>
        <d v="2023-08-11T00:00:00"/>
        <d v="2023-11-28T00:00:00"/>
        <d v="2023-09-02T00:00:00"/>
        <d v="2023-02-28T00:00:00"/>
        <d v="2023-01-11T00:00:00"/>
        <d v="2023-01-27T00:00:00"/>
        <d v="2023-11-09T00:00:00"/>
        <d v="2023-12-15T00:00:00"/>
        <d v="2023-03-05T00:00:00"/>
        <d v="2023-04-09T00:00:00"/>
        <d v="2023-02-17T00:00:00"/>
        <d v="2023-09-01T00:00:00"/>
        <d v="2023-09-30T00:00:00"/>
        <d v="2023-02-20T00:00:00"/>
        <d v="2023-06-07T00:00:00"/>
        <d v="2023-02-03T00:00:00"/>
        <d v="2023-09-14T00:00:00"/>
        <d v="2023-10-01T00:00:00"/>
        <d v="2023-10-12T00:00:00"/>
        <d v="2023-11-23T00:00:00"/>
        <d v="2023-03-07T00:00:00"/>
        <d v="2023-07-28T00:00:00"/>
        <d v="2023-03-26T00:00:00"/>
        <d v="2023-08-17T00:00:00"/>
        <d v="2023-08-10T00:00:00"/>
        <d v="2023-06-09T00:00:00"/>
        <d v="2023-07-10T00:00:00"/>
        <d v="2023-04-08T00:00:00"/>
        <d v="2023-11-11T00:00:00"/>
        <d v="2023-06-10T00:00:00"/>
        <d v="2023-07-01T00:00:00"/>
        <d v="2023-08-20T00:00:00"/>
        <d v="2023-12-30T00:00:00"/>
        <d v="2023-08-24T00:00:00"/>
        <d v="2023-05-10T00:00:00"/>
        <d v="2023-01-06T00:00:00"/>
        <d v="2023-04-21T00:00:00"/>
        <d v="2023-12-07T00:00:00"/>
      </sharedItems>
      <fieldGroup par="14"/>
    </cacheField>
    <cacheField name="Region" numFmtId="0">
      <sharedItems count="4">
        <s v="West"/>
        <s v="South"/>
        <s v="East"/>
        <s v="North"/>
      </sharedItems>
    </cacheField>
    <cacheField name="State" numFmtId="0">
      <sharedItems count="16">
        <s v="Gujarat"/>
        <s v="Telangana"/>
        <s v="Madhya Pradesh"/>
        <s v="Bihar"/>
        <s v="Uttar Pradesh"/>
        <s v="Odisha"/>
        <s v="Karnataka"/>
        <s v="Delhi"/>
        <s v="Haryana"/>
        <s v="Goa"/>
        <s v="Rajasthan"/>
        <s v="Jharkhand"/>
        <s v="Punjab"/>
        <s v="Tamil Nadu"/>
        <s v="Maharashtra"/>
        <s v="West Bengal"/>
      </sharedItems>
    </cacheField>
    <cacheField name="Product_Category" numFmtId="0">
      <sharedItems count="4">
        <s v="Petroleum"/>
        <s v="Telecom"/>
        <s v="Digital Services"/>
        <s v="Retail"/>
      </sharedItems>
    </cacheField>
    <cacheField name="Product_Name" numFmtId="0">
      <sharedItems count="12">
        <s v="Diesel"/>
        <s v="Jio Fiber"/>
        <s v="OTT Subscription"/>
        <s v="Recharge Plan"/>
        <s v="Petrol"/>
        <s v="Electronics"/>
        <s v="Music Subscription"/>
        <s v="Grocery Pack"/>
        <s v="Fashion Apparel"/>
        <s v="Jio SIM"/>
        <s v="Cloud Storage"/>
        <s v="LPG Gas"/>
      </sharedItems>
    </cacheField>
    <cacheField name="Sales_Channel" numFmtId="0">
      <sharedItems count="3">
        <s v="Distributor"/>
        <s v="Online"/>
        <s v="Offline Store"/>
      </sharedItems>
    </cacheField>
    <cacheField name="Units_Sold" numFmtId="0">
      <sharedItems containsSemiMixedTypes="0" containsString="0" containsNumber="1" containsInteger="1" minValue="10" maxValue="500"/>
    </cacheField>
    <cacheField name="Unit_Price" numFmtId="0">
      <sharedItems containsSemiMixedTypes="0" containsString="0" containsNumber="1" containsInteger="1" minValue="200" maxValue="4997"/>
    </cacheField>
    <cacheField name="Total_Sales" numFmtId="0">
      <sharedItems containsSemiMixedTypes="0" containsString="0" containsNumber="1" containsInteger="1" minValue="3000" maxValue="2393924" count="600">
        <n v="905520"/>
        <n v="1733524"/>
        <n v="26691"/>
        <n v="724136"/>
        <n v="126034"/>
        <n v="1427215"/>
        <n v="334308"/>
        <n v="496332"/>
        <n v="716793"/>
        <n v="971516"/>
        <n v="478424"/>
        <n v="1228095"/>
        <n v="73040"/>
        <n v="808468"/>
        <n v="1664382"/>
        <n v="212576"/>
        <n v="880620"/>
        <n v="196350"/>
        <n v="233590"/>
        <n v="1014027"/>
        <n v="194040"/>
        <n v="558279"/>
        <n v="174534"/>
        <n v="2254320"/>
        <n v="711828"/>
        <n v="956080"/>
        <n v="304992"/>
        <n v="242880"/>
        <n v="1728135"/>
        <n v="26564"/>
        <n v="887520"/>
        <n v="644721"/>
        <n v="209874"/>
        <n v="290560"/>
        <n v="411300"/>
        <n v="1159136"/>
        <n v="970600"/>
        <n v="1957110"/>
        <n v="114580"/>
        <n v="138552"/>
        <n v="132470"/>
        <n v="878800"/>
        <n v="376720"/>
        <n v="1896129"/>
        <n v="86229"/>
        <n v="312094"/>
        <n v="1330848"/>
        <n v="312468"/>
        <n v="205656"/>
        <n v="484759"/>
        <n v="467770"/>
        <n v="267380"/>
        <n v="1402560"/>
        <n v="619240"/>
        <n v="117856"/>
        <n v="847500"/>
        <n v="725928"/>
        <n v="177840"/>
        <n v="475447"/>
        <n v="964754"/>
        <n v="1040395"/>
        <n v="1521248"/>
        <n v="418846"/>
        <n v="1309680"/>
        <n v="132037"/>
        <n v="59774"/>
        <n v="476091"/>
        <n v="304000"/>
        <n v="1470664"/>
        <n v="1366400"/>
        <n v="209235"/>
        <n v="484029"/>
        <n v="1223628"/>
        <n v="145740"/>
        <n v="1978200"/>
        <n v="1822744"/>
        <n v="97092"/>
        <n v="27780"/>
        <n v="769599"/>
        <n v="81990"/>
        <n v="89375"/>
        <n v="573760"/>
        <n v="305664"/>
        <n v="2091234"/>
        <n v="1422692"/>
        <n v="669670"/>
        <n v="32998"/>
        <n v="227616"/>
        <n v="180971"/>
        <n v="253685"/>
        <n v="66548"/>
        <n v="2300914"/>
        <n v="48225"/>
        <n v="733950"/>
        <n v="683730"/>
        <n v="682370"/>
        <n v="436748"/>
        <n v="384748"/>
        <n v="153340"/>
        <n v="2071145"/>
        <n v="215130"/>
        <n v="229215"/>
        <n v="1125457"/>
        <n v="546675"/>
        <n v="999999"/>
        <n v="713688"/>
        <n v="382765"/>
        <n v="568912"/>
        <n v="157028"/>
        <n v="41876"/>
        <n v="211968"/>
        <n v="291460"/>
        <n v="1853200"/>
        <n v="1229280"/>
        <n v="393726"/>
        <n v="3000"/>
        <n v="1530898"/>
        <n v="33152"/>
        <n v="210569"/>
        <n v="713460"/>
        <n v="135857"/>
        <n v="453618"/>
        <n v="155682"/>
        <n v="72131"/>
        <n v="167994"/>
        <n v="1166688"/>
        <n v="459224"/>
        <n v="526332"/>
        <n v="1838482"/>
        <n v="121444"/>
        <n v="26707"/>
        <n v="1682223"/>
        <n v="166432"/>
        <n v="306436"/>
        <n v="1600646"/>
        <n v="72174"/>
        <n v="877824"/>
        <n v="629280"/>
        <n v="661815"/>
        <n v="961590"/>
        <n v="192096"/>
        <n v="267264"/>
        <n v="755384"/>
        <n v="223155"/>
        <n v="1024487"/>
        <n v="60711"/>
        <n v="667053"/>
        <n v="1294300"/>
        <n v="411570"/>
        <n v="655270"/>
        <n v="757764"/>
        <n v="359150"/>
        <n v="996300"/>
        <n v="189600"/>
        <n v="1040254"/>
        <n v="1815480"/>
        <n v="706316"/>
        <n v="99752"/>
        <n v="178842"/>
        <n v="1413160"/>
        <n v="1006300"/>
        <n v="1223936"/>
        <n v="297160"/>
        <n v="240396"/>
        <n v="137310"/>
        <n v="319872"/>
        <n v="43282"/>
        <n v="645076"/>
        <n v="533064"/>
        <n v="62415"/>
        <n v="1002708"/>
        <n v="1099350"/>
        <n v="378595"/>
        <n v="111672"/>
        <n v="57760"/>
        <n v="300475"/>
        <n v="1603042"/>
        <n v="940728"/>
        <n v="1109199"/>
        <n v="1666161"/>
        <n v="329658"/>
        <n v="631785"/>
        <n v="54878"/>
        <n v="1678536"/>
        <n v="123280"/>
        <n v="228903"/>
        <n v="1035682"/>
        <n v="1044414"/>
        <n v="1266650"/>
        <n v="573822"/>
        <n v="1609905"/>
        <n v="509490"/>
        <n v="395516"/>
        <n v="527706"/>
        <n v="930188"/>
        <n v="427271"/>
        <n v="1476465"/>
        <n v="911473"/>
        <n v="1955562"/>
        <n v="80201"/>
        <n v="1052296"/>
        <n v="234975"/>
        <n v="95642"/>
        <n v="2076669"/>
        <n v="804026"/>
        <n v="257040"/>
        <n v="1019242"/>
        <n v="959388"/>
        <n v="734526"/>
        <n v="818258"/>
        <n v="1265645"/>
        <n v="142350"/>
        <n v="205238"/>
        <n v="1378260"/>
        <n v="811908"/>
        <n v="69615"/>
        <n v="1231700"/>
        <n v="780400"/>
        <n v="207966"/>
        <n v="319502"/>
        <n v="144760"/>
        <n v="32964"/>
        <n v="1109118"/>
        <n v="688560"/>
        <n v="22032"/>
        <n v="206640"/>
        <n v="1096524"/>
        <n v="131840"/>
        <n v="1278864"/>
        <n v="1937680"/>
        <n v="666306"/>
        <n v="1515429"/>
        <n v="175999"/>
        <n v="1565333"/>
        <n v="123004"/>
        <n v="435580"/>
        <n v="866180"/>
        <n v="1902364"/>
        <n v="272300"/>
        <n v="244644"/>
        <n v="1097032"/>
        <n v="793973"/>
        <n v="951481"/>
        <n v="1771190"/>
        <n v="1069848"/>
        <n v="191160"/>
        <n v="192796"/>
        <n v="1306842"/>
        <n v="1791882"/>
        <n v="391359"/>
        <n v="639730"/>
        <n v="223146"/>
        <n v="1117561"/>
        <n v="295328"/>
        <n v="1064558"/>
        <n v="75320"/>
        <n v="93240"/>
        <n v="1101820"/>
        <n v="519970"/>
        <n v="542360"/>
        <n v="1866756"/>
        <n v="577044"/>
        <n v="877614"/>
        <n v="592452"/>
        <n v="776853"/>
        <n v="436934"/>
        <n v="691460"/>
        <n v="10584"/>
        <n v="307440"/>
        <n v="968240"/>
        <n v="1673602"/>
        <n v="400980"/>
        <n v="215166"/>
        <n v="336256"/>
        <n v="427230"/>
        <n v="1820709"/>
        <n v="860264"/>
        <n v="247883"/>
        <n v="69920"/>
        <n v="586300"/>
        <n v="482400"/>
        <n v="1744600"/>
        <n v="613872"/>
        <n v="409968"/>
        <n v="879840"/>
        <n v="112708"/>
        <n v="1121180"/>
        <n v="122464"/>
        <n v="95095"/>
        <n v="629884"/>
        <n v="209264"/>
        <n v="49938"/>
        <n v="356542"/>
        <n v="608736"/>
        <n v="936404"/>
        <n v="1077253"/>
        <n v="297483"/>
        <n v="125496"/>
        <n v="285824"/>
        <n v="150800"/>
        <n v="708072"/>
        <n v="313950"/>
        <n v="1345092"/>
        <n v="836290"/>
        <n v="1753050"/>
        <n v="436760"/>
        <n v="1768312"/>
        <n v="292358"/>
        <n v="192888"/>
        <n v="1419781"/>
        <n v="661720"/>
        <n v="99549"/>
        <n v="248300"/>
        <n v="321563"/>
        <n v="1952552"/>
        <n v="1338876"/>
        <n v="131227"/>
        <n v="1357000"/>
        <n v="174084"/>
        <n v="235440"/>
        <n v="454100"/>
        <n v="1008103"/>
        <n v="308803"/>
        <n v="415000"/>
        <n v="162951"/>
        <n v="766080"/>
        <n v="958968"/>
        <n v="1172094"/>
        <n v="524916"/>
        <n v="779438"/>
        <n v="689161"/>
        <n v="548255"/>
        <n v="276590"/>
        <n v="560170"/>
        <n v="469159"/>
        <n v="1583232"/>
        <n v="653630"/>
        <n v="542711"/>
        <n v="1708956"/>
        <n v="1400410"/>
        <n v="673578"/>
        <n v="106164"/>
        <n v="1376119"/>
        <n v="134121"/>
        <n v="470547"/>
        <n v="142245"/>
        <n v="206888"/>
        <n v="1044696"/>
        <n v="1269752"/>
        <n v="1336064"/>
        <n v="600831"/>
        <n v="1483216"/>
        <n v="100322"/>
        <n v="1140840"/>
        <n v="834400"/>
        <n v="214389"/>
        <n v="164844"/>
        <n v="831554"/>
        <n v="168592"/>
        <n v="446000"/>
        <n v="114556"/>
        <n v="99684"/>
        <n v="22632"/>
        <n v="576688"/>
        <n v="446200"/>
        <n v="395304"/>
        <n v="563472"/>
        <n v="336619"/>
        <n v="522261"/>
        <n v="1656135"/>
        <n v="276921"/>
        <n v="377045"/>
        <n v="1102454"/>
        <n v="762468"/>
        <n v="333540"/>
        <n v="640584"/>
        <n v="336734"/>
        <n v="329574"/>
        <n v="1131435"/>
        <n v="666240"/>
        <n v="930654"/>
        <n v="283864"/>
        <n v="129428"/>
        <n v="13656"/>
        <n v="218713"/>
        <n v="288592"/>
        <n v="34656"/>
        <n v="996450"/>
        <n v="593769"/>
        <n v="776958"/>
        <n v="215688"/>
        <n v="440750"/>
        <n v="1911000"/>
        <n v="711808"/>
        <n v="1067976"/>
        <n v="1401744"/>
        <n v="190456"/>
        <n v="1585054"/>
        <n v="467201"/>
        <n v="1234788"/>
        <n v="55584"/>
        <n v="448970"/>
        <n v="145080"/>
        <n v="199224"/>
        <n v="193347"/>
        <n v="925127"/>
        <n v="210824"/>
        <n v="17469"/>
        <n v="233805"/>
        <n v="119168"/>
        <n v="103986"/>
        <n v="1379820"/>
        <n v="1054350"/>
        <n v="1272224"/>
        <n v="835890"/>
        <n v="506000"/>
        <n v="282534"/>
        <n v="1507278"/>
        <n v="684090"/>
        <n v="121975"/>
        <n v="2393924"/>
        <n v="231136"/>
        <n v="847616"/>
        <n v="578925"/>
        <n v="990025"/>
        <n v="412794"/>
        <n v="25040"/>
        <n v="213356"/>
        <n v="368291"/>
        <n v="1851606"/>
        <n v="95370"/>
        <n v="762280"/>
        <n v="577039"/>
        <n v="50779"/>
        <n v="114480"/>
        <n v="223599"/>
        <n v="1049054"/>
        <n v="346032"/>
        <n v="517980"/>
        <n v="1433110"/>
        <n v="1939856"/>
        <n v="273372"/>
        <n v="457644"/>
        <n v="498542"/>
        <n v="405450"/>
        <n v="606947"/>
        <n v="1224748"/>
        <n v="530670"/>
        <n v="230971"/>
        <n v="241192"/>
        <n v="1835568"/>
        <n v="1552499"/>
        <n v="448902"/>
        <n v="87360"/>
        <n v="244860"/>
        <n v="1637117"/>
        <n v="29971"/>
        <n v="183120"/>
        <n v="85428"/>
        <n v="1746900"/>
        <n v="47520"/>
        <n v="1820160"/>
        <n v="1598676"/>
        <n v="100548"/>
        <n v="901747"/>
        <n v="557824"/>
        <n v="755326"/>
        <n v="328878"/>
        <n v="267786"/>
        <n v="11832"/>
        <n v="304983"/>
        <n v="598808"/>
        <n v="335907"/>
        <n v="332948"/>
        <n v="1505112"/>
        <n v="1084039"/>
        <n v="550800"/>
        <n v="428740"/>
        <n v="1856302"/>
        <n v="379610"/>
        <n v="106133"/>
        <n v="1742480"/>
        <n v="674843"/>
        <n v="394072"/>
        <n v="1277880"/>
        <n v="35581"/>
        <n v="45606"/>
        <n v="630960"/>
        <n v="1365832"/>
        <n v="476484"/>
        <n v="1361529"/>
        <n v="150880"/>
        <n v="976221"/>
        <n v="1524020"/>
        <n v="1476926"/>
        <n v="2356047"/>
        <n v="83582"/>
        <n v="668800"/>
        <n v="203880"/>
        <n v="257530"/>
        <n v="562419"/>
        <n v="195525"/>
        <n v="1780485"/>
        <n v="906360"/>
        <n v="251301"/>
        <n v="36210"/>
        <n v="607434"/>
        <n v="88134"/>
        <n v="452599"/>
        <n v="1757392"/>
        <n v="102999"/>
        <n v="240380"/>
        <n v="236394"/>
        <n v="112052"/>
        <n v="135237"/>
        <n v="155724"/>
        <n v="40060"/>
        <n v="712580"/>
        <n v="230056"/>
        <n v="571914"/>
        <n v="382590"/>
        <n v="73440"/>
        <n v="1555850"/>
        <n v="287007"/>
        <n v="291270"/>
        <n v="996194"/>
        <n v="831326"/>
        <n v="234896"/>
        <n v="1875592"/>
        <n v="691256"/>
        <n v="735804"/>
        <n v="179550"/>
        <n v="553432"/>
        <n v="249084"/>
        <n v="488788"/>
        <n v="1228084"/>
        <n v="1260760"/>
        <n v="373932"/>
        <n v="510040"/>
        <n v="44462"/>
        <n v="1162842"/>
        <n v="336483"/>
        <n v="18600"/>
        <n v="1463802"/>
        <n v="1164930"/>
        <n v="956862"/>
        <n v="2051907"/>
        <n v="313120"/>
        <n v="2202348"/>
        <n v="131890"/>
        <n v="640234"/>
        <n v="110160"/>
        <n v="211560"/>
        <n v="252030"/>
        <n v="41360"/>
        <n v="382605"/>
        <n v="557844"/>
        <n v="492696"/>
        <n v="699600"/>
        <n v="1039998"/>
        <n v="67553"/>
        <n v="567588"/>
        <n v="1674288"/>
        <n v="327426"/>
        <n v="69264"/>
        <n v="803760"/>
        <n v="418992"/>
        <n v="150768"/>
        <n v="144946"/>
        <n v="401472"/>
        <n v="1438280"/>
        <n v="729220"/>
        <n v="769934"/>
        <n v="268938"/>
        <n v="374601"/>
        <n v="138900"/>
        <n v="192276"/>
        <n v="908215"/>
        <n v="108940"/>
        <n v="714705"/>
        <n v="631005"/>
        <n v="297570"/>
        <n v="1431150"/>
        <n v="319633"/>
        <n v="1210074"/>
        <n v="1093940"/>
        <n v="817644"/>
        <n v="691259"/>
        <n v="231840"/>
        <n v="504020"/>
        <n v="1565319"/>
        <n v="157182"/>
        <n v="243984"/>
        <n v="152333"/>
        <n v="80160"/>
        <n v="180750"/>
        <n v="363658"/>
        <n v="1332855"/>
        <n v="96300"/>
        <n v="148960"/>
      </sharedItems>
    </cacheField>
    <cacheField name="Cost_Per_Unit" numFmtId="0">
      <sharedItems containsSemiMixedTypes="0" containsString="0" containsNumber="1" containsInteger="1" minValue="102" maxValue="4817"/>
    </cacheField>
    <cacheField name="Total_Cost" numFmtId="0">
      <sharedItems containsSemiMixedTypes="0" containsString="0" containsNumber="1" containsInteger="1" minValue="1568" maxValue="2112702"/>
    </cacheField>
    <cacheField name="Profit" numFmtId="0">
      <sharedItems containsSemiMixedTypes="0" containsString="0" containsNumber="1" containsInteger="1" minValue="1005" maxValue="1869790"/>
    </cacheField>
    <cacheField name="Months (Order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Years (Order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9030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1"/>
    <x v="0"/>
    <x v="0"/>
    <x v="0"/>
    <x v="0"/>
    <x v="0"/>
    <x v="0"/>
    <n v="336"/>
    <n v="2695"/>
    <x v="0"/>
    <n v="2182"/>
    <n v="733152"/>
    <n v="172368"/>
  </r>
  <r>
    <n v="2"/>
    <x v="1"/>
    <x v="1"/>
    <x v="1"/>
    <x v="1"/>
    <x v="1"/>
    <x v="1"/>
    <n v="442"/>
    <n v="3922"/>
    <x v="1"/>
    <n v="1459"/>
    <n v="644878"/>
    <n v="1088646"/>
  </r>
  <r>
    <n v="3"/>
    <x v="2"/>
    <x v="0"/>
    <x v="2"/>
    <x v="2"/>
    <x v="2"/>
    <x v="1"/>
    <n v="123"/>
    <n v="217"/>
    <x v="2"/>
    <n v="143"/>
    <n v="17589"/>
    <n v="9102"/>
  </r>
  <r>
    <n v="4"/>
    <x v="3"/>
    <x v="2"/>
    <x v="3"/>
    <x v="1"/>
    <x v="3"/>
    <x v="1"/>
    <n v="469"/>
    <n v="1544"/>
    <x v="3"/>
    <n v="1108"/>
    <n v="519652"/>
    <n v="204484"/>
  </r>
  <r>
    <n v="5"/>
    <x v="4"/>
    <x v="1"/>
    <x v="1"/>
    <x v="0"/>
    <x v="4"/>
    <x v="0"/>
    <n v="106"/>
    <n v="1189"/>
    <x v="4"/>
    <n v="904"/>
    <n v="95824"/>
    <n v="30210"/>
  </r>
  <r>
    <n v="6"/>
    <x v="5"/>
    <x v="1"/>
    <x v="1"/>
    <x v="3"/>
    <x v="5"/>
    <x v="2"/>
    <n v="397"/>
    <n v="3595"/>
    <x v="5"/>
    <n v="290"/>
    <n v="115130"/>
    <n v="1312085"/>
  </r>
  <r>
    <n v="7"/>
    <x v="6"/>
    <x v="3"/>
    <x v="4"/>
    <x v="2"/>
    <x v="6"/>
    <x v="0"/>
    <n v="78"/>
    <n v="4286"/>
    <x v="6"/>
    <n v="135"/>
    <n v="10530"/>
    <n v="323778"/>
  </r>
  <r>
    <n v="8"/>
    <x v="7"/>
    <x v="3"/>
    <x v="4"/>
    <x v="2"/>
    <x v="6"/>
    <x v="1"/>
    <n v="306"/>
    <n v="1622"/>
    <x v="7"/>
    <n v="362"/>
    <n v="110772"/>
    <n v="385560"/>
  </r>
  <r>
    <n v="9"/>
    <x v="8"/>
    <x v="3"/>
    <x v="4"/>
    <x v="1"/>
    <x v="3"/>
    <x v="2"/>
    <n v="321"/>
    <n v="2233"/>
    <x v="8"/>
    <n v="1220"/>
    <n v="391620"/>
    <n v="325173"/>
  </r>
  <r>
    <n v="10"/>
    <x v="9"/>
    <x v="0"/>
    <x v="2"/>
    <x v="1"/>
    <x v="1"/>
    <x v="1"/>
    <n v="221"/>
    <n v="4396"/>
    <x v="9"/>
    <n v="2548"/>
    <n v="563108"/>
    <n v="408408"/>
  </r>
  <r>
    <n v="11"/>
    <x v="10"/>
    <x v="2"/>
    <x v="5"/>
    <x v="3"/>
    <x v="7"/>
    <x v="0"/>
    <n v="158"/>
    <n v="3028"/>
    <x v="10"/>
    <n v="2854"/>
    <n v="450932"/>
    <n v="27492"/>
  </r>
  <r>
    <n v="12"/>
    <x v="11"/>
    <x v="1"/>
    <x v="6"/>
    <x v="1"/>
    <x v="3"/>
    <x v="1"/>
    <n v="297"/>
    <n v="4135"/>
    <x v="11"/>
    <n v="2487"/>
    <n v="738639"/>
    <n v="489456"/>
  </r>
  <r>
    <n v="13"/>
    <x v="12"/>
    <x v="0"/>
    <x v="2"/>
    <x v="2"/>
    <x v="2"/>
    <x v="0"/>
    <n v="22"/>
    <n v="3320"/>
    <x v="12"/>
    <n v="695"/>
    <n v="15290"/>
    <n v="57750"/>
  </r>
  <r>
    <n v="14"/>
    <x v="13"/>
    <x v="3"/>
    <x v="7"/>
    <x v="3"/>
    <x v="8"/>
    <x v="1"/>
    <n v="359"/>
    <n v="2252"/>
    <x v="13"/>
    <n v="699"/>
    <n v="250941"/>
    <n v="557527"/>
  </r>
  <r>
    <n v="15"/>
    <x v="14"/>
    <x v="3"/>
    <x v="8"/>
    <x v="3"/>
    <x v="5"/>
    <x v="1"/>
    <n v="426"/>
    <n v="3907"/>
    <x v="14"/>
    <n v="519"/>
    <n v="221094"/>
    <n v="1443288"/>
  </r>
  <r>
    <n v="16"/>
    <x v="15"/>
    <x v="1"/>
    <x v="1"/>
    <x v="3"/>
    <x v="5"/>
    <x v="0"/>
    <n v="364"/>
    <n v="584"/>
    <x v="15"/>
    <n v="295"/>
    <n v="107380"/>
    <n v="105196"/>
  </r>
  <r>
    <n v="17"/>
    <x v="16"/>
    <x v="0"/>
    <x v="9"/>
    <x v="1"/>
    <x v="3"/>
    <x v="1"/>
    <n v="390"/>
    <n v="2258"/>
    <x v="16"/>
    <n v="931"/>
    <n v="363090"/>
    <n v="517530"/>
  </r>
  <r>
    <n v="18"/>
    <x v="17"/>
    <x v="0"/>
    <x v="10"/>
    <x v="1"/>
    <x v="3"/>
    <x v="0"/>
    <n v="110"/>
    <n v="1785"/>
    <x v="17"/>
    <n v="702"/>
    <n v="77220"/>
    <n v="119130"/>
  </r>
  <r>
    <n v="19"/>
    <x v="18"/>
    <x v="0"/>
    <x v="10"/>
    <x v="0"/>
    <x v="0"/>
    <x v="1"/>
    <n v="71"/>
    <n v="3290"/>
    <x v="18"/>
    <n v="266"/>
    <n v="18886"/>
    <n v="214704"/>
  </r>
  <r>
    <n v="20"/>
    <x v="19"/>
    <x v="0"/>
    <x v="2"/>
    <x v="1"/>
    <x v="9"/>
    <x v="1"/>
    <n v="443"/>
    <n v="2289"/>
    <x v="19"/>
    <n v="123"/>
    <n v="54489"/>
    <n v="959538"/>
  </r>
  <r>
    <n v="21"/>
    <x v="20"/>
    <x v="2"/>
    <x v="11"/>
    <x v="3"/>
    <x v="7"/>
    <x v="1"/>
    <n v="315"/>
    <n v="616"/>
    <x v="20"/>
    <n v="496"/>
    <n v="156240"/>
    <n v="37800"/>
  </r>
  <r>
    <n v="22"/>
    <x v="21"/>
    <x v="2"/>
    <x v="11"/>
    <x v="1"/>
    <x v="9"/>
    <x v="0"/>
    <n v="279"/>
    <n v="2001"/>
    <x v="21"/>
    <n v="476"/>
    <n v="132804"/>
    <n v="425475"/>
  </r>
  <r>
    <n v="23"/>
    <x v="22"/>
    <x v="3"/>
    <x v="12"/>
    <x v="2"/>
    <x v="6"/>
    <x v="0"/>
    <n v="57"/>
    <n v="3062"/>
    <x v="22"/>
    <n v="1006"/>
    <n v="57342"/>
    <n v="117192"/>
  </r>
  <r>
    <n v="24"/>
    <x v="23"/>
    <x v="1"/>
    <x v="13"/>
    <x v="1"/>
    <x v="1"/>
    <x v="2"/>
    <n v="496"/>
    <n v="4545"/>
    <x v="23"/>
    <n v="3990"/>
    <n v="1979040"/>
    <n v="275280"/>
  </r>
  <r>
    <n v="25"/>
    <x v="24"/>
    <x v="3"/>
    <x v="7"/>
    <x v="1"/>
    <x v="1"/>
    <x v="1"/>
    <n v="324"/>
    <n v="2197"/>
    <x v="24"/>
    <n v="263"/>
    <n v="85212"/>
    <n v="626616"/>
  </r>
  <r>
    <n v="26"/>
    <x v="25"/>
    <x v="2"/>
    <x v="11"/>
    <x v="0"/>
    <x v="4"/>
    <x v="2"/>
    <n v="380"/>
    <n v="2516"/>
    <x v="25"/>
    <n v="201"/>
    <n v="76380"/>
    <n v="879700"/>
  </r>
  <r>
    <n v="27"/>
    <x v="26"/>
    <x v="2"/>
    <x v="11"/>
    <x v="2"/>
    <x v="2"/>
    <x v="2"/>
    <n v="108"/>
    <n v="2824"/>
    <x v="26"/>
    <n v="2204"/>
    <n v="238032"/>
    <n v="66960"/>
  </r>
  <r>
    <n v="28"/>
    <x v="27"/>
    <x v="3"/>
    <x v="7"/>
    <x v="3"/>
    <x v="5"/>
    <x v="0"/>
    <n v="330"/>
    <n v="736"/>
    <x v="27"/>
    <n v="315"/>
    <n v="103950"/>
    <n v="138930"/>
  </r>
  <r>
    <n v="29"/>
    <x v="28"/>
    <x v="1"/>
    <x v="1"/>
    <x v="0"/>
    <x v="0"/>
    <x v="0"/>
    <n v="459"/>
    <n v="3765"/>
    <x v="28"/>
    <n v="2748"/>
    <n v="1261332"/>
    <n v="466803"/>
  </r>
  <r>
    <n v="30"/>
    <x v="29"/>
    <x v="3"/>
    <x v="12"/>
    <x v="0"/>
    <x v="4"/>
    <x v="0"/>
    <n v="29"/>
    <n v="916"/>
    <x v="29"/>
    <n v="175"/>
    <n v="5075"/>
    <n v="21489"/>
  </r>
  <r>
    <n v="31"/>
    <x v="30"/>
    <x v="3"/>
    <x v="12"/>
    <x v="1"/>
    <x v="3"/>
    <x v="1"/>
    <n v="430"/>
    <n v="2064"/>
    <x v="30"/>
    <n v="1965"/>
    <n v="844950"/>
    <n v="42570"/>
  </r>
  <r>
    <n v="32"/>
    <x v="31"/>
    <x v="2"/>
    <x v="11"/>
    <x v="2"/>
    <x v="10"/>
    <x v="0"/>
    <n v="231"/>
    <n v="2791"/>
    <x v="31"/>
    <n v="169"/>
    <n v="39039"/>
    <n v="605682"/>
  </r>
  <r>
    <n v="33"/>
    <x v="0"/>
    <x v="0"/>
    <x v="0"/>
    <x v="0"/>
    <x v="11"/>
    <x v="0"/>
    <n v="42"/>
    <n v="4997"/>
    <x v="32"/>
    <n v="472"/>
    <n v="19824"/>
    <n v="190050"/>
  </r>
  <r>
    <n v="34"/>
    <x v="32"/>
    <x v="3"/>
    <x v="8"/>
    <x v="0"/>
    <x v="4"/>
    <x v="0"/>
    <n v="320"/>
    <n v="908"/>
    <x v="33"/>
    <n v="388"/>
    <n v="124160"/>
    <n v="166400"/>
  </r>
  <r>
    <n v="35"/>
    <x v="33"/>
    <x v="0"/>
    <x v="9"/>
    <x v="2"/>
    <x v="6"/>
    <x v="1"/>
    <n v="90"/>
    <n v="4570"/>
    <x v="34"/>
    <n v="1901"/>
    <n v="171090"/>
    <n v="240210"/>
  </r>
  <r>
    <n v="36"/>
    <x v="34"/>
    <x v="1"/>
    <x v="1"/>
    <x v="1"/>
    <x v="3"/>
    <x v="1"/>
    <n v="356"/>
    <n v="3256"/>
    <x v="35"/>
    <n v="145"/>
    <n v="51620"/>
    <n v="1107516"/>
  </r>
  <r>
    <n v="37"/>
    <x v="35"/>
    <x v="1"/>
    <x v="14"/>
    <x v="0"/>
    <x v="0"/>
    <x v="0"/>
    <n v="211"/>
    <n v="4600"/>
    <x v="36"/>
    <n v="797"/>
    <n v="168167"/>
    <n v="802433"/>
  </r>
  <r>
    <n v="38"/>
    <x v="36"/>
    <x v="2"/>
    <x v="5"/>
    <x v="1"/>
    <x v="9"/>
    <x v="2"/>
    <n v="445"/>
    <n v="4398"/>
    <x v="37"/>
    <n v="1266"/>
    <n v="563370"/>
    <n v="1393740"/>
  </r>
  <r>
    <n v="39"/>
    <x v="37"/>
    <x v="1"/>
    <x v="6"/>
    <x v="3"/>
    <x v="5"/>
    <x v="2"/>
    <n v="68"/>
    <n v="1685"/>
    <x v="38"/>
    <n v="1474"/>
    <n v="100232"/>
    <n v="14348"/>
  </r>
  <r>
    <n v="40"/>
    <x v="38"/>
    <x v="3"/>
    <x v="4"/>
    <x v="0"/>
    <x v="4"/>
    <x v="0"/>
    <n v="138"/>
    <n v="1004"/>
    <x v="39"/>
    <n v="302"/>
    <n v="41676"/>
    <n v="96876"/>
  </r>
  <r>
    <n v="41"/>
    <x v="39"/>
    <x v="0"/>
    <x v="2"/>
    <x v="1"/>
    <x v="9"/>
    <x v="0"/>
    <n v="130"/>
    <n v="1019"/>
    <x v="40"/>
    <n v="391"/>
    <n v="50830"/>
    <n v="81640"/>
  </r>
  <r>
    <n v="42"/>
    <x v="40"/>
    <x v="3"/>
    <x v="12"/>
    <x v="1"/>
    <x v="1"/>
    <x v="2"/>
    <n v="325"/>
    <n v="2704"/>
    <x v="41"/>
    <n v="2492"/>
    <n v="809900"/>
    <n v="68900"/>
  </r>
  <r>
    <n v="43"/>
    <x v="41"/>
    <x v="1"/>
    <x v="13"/>
    <x v="1"/>
    <x v="1"/>
    <x v="1"/>
    <n v="170"/>
    <n v="2216"/>
    <x v="42"/>
    <n v="1007"/>
    <n v="171190"/>
    <n v="205530"/>
  </r>
  <r>
    <n v="44"/>
    <x v="29"/>
    <x v="0"/>
    <x v="2"/>
    <x v="1"/>
    <x v="9"/>
    <x v="0"/>
    <n v="459"/>
    <n v="4131"/>
    <x v="43"/>
    <n v="1995"/>
    <n v="915705"/>
    <n v="980424"/>
  </r>
  <r>
    <n v="45"/>
    <x v="5"/>
    <x v="0"/>
    <x v="2"/>
    <x v="1"/>
    <x v="1"/>
    <x v="0"/>
    <n v="99"/>
    <n v="871"/>
    <x v="44"/>
    <n v="387"/>
    <n v="38313"/>
    <n v="47916"/>
  </r>
  <r>
    <n v="46"/>
    <x v="42"/>
    <x v="1"/>
    <x v="6"/>
    <x v="1"/>
    <x v="3"/>
    <x v="0"/>
    <n v="382"/>
    <n v="817"/>
    <x v="45"/>
    <n v="119"/>
    <n v="45458"/>
    <n v="266636"/>
  </r>
  <r>
    <n v="47"/>
    <x v="43"/>
    <x v="3"/>
    <x v="4"/>
    <x v="3"/>
    <x v="7"/>
    <x v="0"/>
    <n v="288"/>
    <n v="4621"/>
    <x v="46"/>
    <n v="3967"/>
    <n v="1142496"/>
    <n v="188352"/>
  </r>
  <r>
    <n v="48"/>
    <x v="44"/>
    <x v="1"/>
    <x v="13"/>
    <x v="2"/>
    <x v="2"/>
    <x v="0"/>
    <n v="78"/>
    <n v="4006"/>
    <x v="47"/>
    <n v="2152"/>
    <n v="167856"/>
    <n v="144612"/>
  </r>
  <r>
    <n v="49"/>
    <x v="45"/>
    <x v="3"/>
    <x v="4"/>
    <x v="1"/>
    <x v="3"/>
    <x v="1"/>
    <n v="132"/>
    <n v="1558"/>
    <x v="48"/>
    <n v="1152"/>
    <n v="152064"/>
    <n v="53592"/>
  </r>
  <r>
    <n v="50"/>
    <x v="46"/>
    <x v="1"/>
    <x v="1"/>
    <x v="3"/>
    <x v="7"/>
    <x v="0"/>
    <n v="347"/>
    <n v="1397"/>
    <x v="49"/>
    <n v="1090"/>
    <n v="378230"/>
    <n v="106529"/>
  </r>
  <r>
    <n v="51"/>
    <x v="47"/>
    <x v="2"/>
    <x v="15"/>
    <x v="3"/>
    <x v="8"/>
    <x v="1"/>
    <n v="145"/>
    <n v="3226"/>
    <x v="50"/>
    <n v="1058"/>
    <n v="153410"/>
    <n v="314360"/>
  </r>
  <r>
    <n v="52"/>
    <x v="48"/>
    <x v="3"/>
    <x v="12"/>
    <x v="1"/>
    <x v="1"/>
    <x v="2"/>
    <n v="461"/>
    <n v="580"/>
    <x v="51"/>
    <n v="120"/>
    <n v="55320"/>
    <n v="212060"/>
  </r>
  <r>
    <n v="53"/>
    <x v="49"/>
    <x v="2"/>
    <x v="15"/>
    <x v="1"/>
    <x v="3"/>
    <x v="2"/>
    <n v="288"/>
    <n v="4870"/>
    <x v="52"/>
    <n v="1524"/>
    <n v="438912"/>
    <n v="963648"/>
  </r>
  <r>
    <n v="54"/>
    <x v="42"/>
    <x v="0"/>
    <x v="9"/>
    <x v="1"/>
    <x v="3"/>
    <x v="0"/>
    <n v="274"/>
    <n v="2260"/>
    <x v="53"/>
    <n v="1641"/>
    <n v="449634"/>
    <n v="169606"/>
  </r>
  <r>
    <n v="55"/>
    <x v="50"/>
    <x v="1"/>
    <x v="1"/>
    <x v="1"/>
    <x v="1"/>
    <x v="2"/>
    <n v="464"/>
    <n v="254"/>
    <x v="54"/>
    <n v="164"/>
    <n v="76096"/>
    <n v="41760"/>
  </r>
  <r>
    <n v="56"/>
    <x v="18"/>
    <x v="1"/>
    <x v="1"/>
    <x v="3"/>
    <x v="7"/>
    <x v="1"/>
    <n v="339"/>
    <n v="2500"/>
    <x v="55"/>
    <n v="966"/>
    <n v="327474"/>
    <n v="520026"/>
  </r>
  <r>
    <n v="57"/>
    <x v="51"/>
    <x v="1"/>
    <x v="6"/>
    <x v="3"/>
    <x v="8"/>
    <x v="0"/>
    <n v="348"/>
    <n v="2086"/>
    <x v="56"/>
    <n v="949"/>
    <n v="330252"/>
    <n v="395676"/>
  </r>
  <r>
    <n v="58"/>
    <x v="52"/>
    <x v="2"/>
    <x v="15"/>
    <x v="2"/>
    <x v="6"/>
    <x v="2"/>
    <n v="117"/>
    <n v="1520"/>
    <x v="57"/>
    <n v="1425"/>
    <n v="166725"/>
    <n v="11115"/>
  </r>
  <r>
    <n v="59"/>
    <x v="53"/>
    <x v="0"/>
    <x v="0"/>
    <x v="3"/>
    <x v="7"/>
    <x v="1"/>
    <n v="313"/>
    <n v="1519"/>
    <x v="58"/>
    <n v="375"/>
    <n v="117375"/>
    <n v="358072"/>
  </r>
  <r>
    <n v="60"/>
    <x v="54"/>
    <x v="3"/>
    <x v="12"/>
    <x v="0"/>
    <x v="0"/>
    <x v="2"/>
    <n v="274"/>
    <n v="3521"/>
    <x v="59"/>
    <n v="2554"/>
    <n v="699796"/>
    <n v="264958"/>
  </r>
  <r>
    <n v="61"/>
    <x v="55"/>
    <x v="3"/>
    <x v="8"/>
    <x v="0"/>
    <x v="0"/>
    <x v="2"/>
    <n v="251"/>
    <n v="4145"/>
    <x v="60"/>
    <n v="798"/>
    <n v="200298"/>
    <n v="840097"/>
  </r>
  <r>
    <n v="62"/>
    <x v="56"/>
    <x v="1"/>
    <x v="1"/>
    <x v="3"/>
    <x v="5"/>
    <x v="1"/>
    <n v="347"/>
    <n v="4384"/>
    <x v="61"/>
    <n v="2266"/>
    <n v="786302"/>
    <n v="734946"/>
  </r>
  <r>
    <n v="63"/>
    <x v="57"/>
    <x v="1"/>
    <x v="13"/>
    <x v="2"/>
    <x v="6"/>
    <x v="0"/>
    <n v="127"/>
    <n v="3298"/>
    <x v="62"/>
    <n v="1678"/>
    <n v="213106"/>
    <n v="205740"/>
  </r>
  <r>
    <n v="64"/>
    <x v="6"/>
    <x v="1"/>
    <x v="14"/>
    <x v="0"/>
    <x v="0"/>
    <x v="0"/>
    <n v="360"/>
    <n v="3638"/>
    <x v="63"/>
    <n v="3485"/>
    <n v="1254600"/>
    <n v="55080"/>
  </r>
  <r>
    <n v="65"/>
    <x v="58"/>
    <x v="1"/>
    <x v="14"/>
    <x v="3"/>
    <x v="8"/>
    <x v="0"/>
    <n v="29"/>
    <n v="4553"/>
    <x v="64"/>
    <n v="4223"/>
    <n v="122467"/>
    <n v="9570"/>
  </r>
  <r>
    <n v="66"/>
    <x v="17"/>
    <x v="3"/>
    <x v="7"/>
    <x v="2"/>
    <x v="6"/>
    <x v="1"/>
    <n v="286"/>
    <n v="209"/>
    <x v="65"/>
    <n v="157"/>
    <n v="44902"/>
    <n v="14872"/>
  </r>
  <r>
    <n v="67"/>
    <x v="59"/>
    <x v="0"/>
    <x v="9"/>
    <x v="1"/>
    <x v="9"/>
    <x v="0"/>
    <n v="229"/>
    <n v="2079"/>
    <x v="66"/>
    <n v="2021"/>
    <n v="462809"/>
    <n v="13282"/>
  </r>
  <r>
    <n v="68"/>
    <x v="60"/>
    <x v="0"/>
    <x v="9"/>
    <x v="1"/>
    <x v="3"/>
    <x v="0"/>
    <n v="304"/>
    <n v="1000"/>
    <x v="67"/>
    <n v="535"/>
    <n v="162640"/>
    <n v="141360"/>
  </r>
  <r>
    <n v="69"/>
    <x v="61"/>
    <x v="1"/>
    <x v="13"/>
    <x v="2"/>
    <x v="2"/>
    <x v="1"/>
    <n v="316"/>
    <n v="4654"/>
    <x v="68"/>
    <n v="3447"/>
    <n v="1089252"/>
    <n v="381412"/>
  </r>
  <r>
    <n v="70"/>
    <x v="27"/>
    <x v="2"/>
    <x v="5"/>
    <x v="0"/>
    <x v="11"/>
    <x v="0"/>
    <n v="305"/>
    <n v="4480"/>
    <x v="69"/>
    <n v="1065"/>
    <n v="324825"/>
    <n v="1041575"/>
  </r>
  <r>
    <n v="71"/>
    <x v="62"/>
    <x v="3"/>
    <x v="4"/>
    <x v="3"/>
    <x v="5"/>
    <x v="2"/>
    <n v="195"/>
    <n v="1073"/>
    <x v="70"/>
    <n v="258"/>
    <n v="50310"/>
    <n v="158925"/>
  </r>
  <r>
    <n v="72"/>
    <x v="46"/>
    <x v="0"/>
    <x v="2"/>
    <x v="1"/>
    <x v="3"/>
    <x v="2"/>
    <n v="197"/>
    <n v="2457"/>
    <x v="71"/>
    <n v="1727"/>
    <n v="340219"/>
    <n v="143810"/>
  </r>
  <r>
    <n v="73"/>
    <x v="63"/>
    <x v="1"/>
    <x v="1"/>
    <x v="2"/>
    <x v="2"/>
    <x v="2"/>
    <n v="294"/>
    <n v="4162"/>
    <x v="72"/>
    <n v="1139"/>
    <n v="334866"/>
    <n v="888762"/>
  </r>
  <r>
    <n v="74"/>
    <x v="2"/>
    <x v="2"/>
    <x v="3"/>
    <x v="2"/>
    <x v="6"/>
    <x v="1"/>
    <n v="70"/>
    <n v="2082"/>
    <x v="73"/>
    <n v="1014"/>
    <n v="70980"/>
    <n v="74760"/>
  </r>
  <r>
    <n v="75"/>
    <x v="64"/>
    <x v="1"/>
    <x v="14"/>
    <x v="3"/>
    <x v="5"/>
    <x v="2"/>
    <n v="420"/>
    <n v="4710"/>
    <x v="74"/>
    <n v="526"/>
    <n v="220920"/>
    <n v="1757280"/>
  </r>
  <r>
    <n v="76"/>
    <x v="65"/>
    <x v="1"/>
    <x v="1"/>
    <x v="0"/>
    <x v="0"/>
    <x v="1"/>
    <n v="484"/>
    <n v="3766"/>
    <x v="75"/>
    <n v="461"/>
    <n v="223124"/>
    <n v="1599620"/>
  </r>
  <r>
    <n v="77"/>
    <x v="66"/>
    <x v="3"/>
    <x v="8"/>
    <x v="3"/>
    <x v="8"/>
    <x v="1"/>
    <n v="29"/>
    <n v="3348"/>
    <x v="76"/>
    <n v="1741"/>
    <n v="50489"/>
    <n v="46603"/>
  </r>
  <r>
    <n v="78"/>
    <x v="67"/>
    <x v="2"/>
    <x v="15"/>
    <x v="3"/>
    <x v="5"/>
    <x v="2"/>
    <n v="15"/>
    <n v="1852"/>
    <x v="77"/>
    <n v="1445"/>
    <n v="21675"/>
    <n v="6105"/>
  </r>
  <r>
    <n v="79"/>
    <x v="68"/>
    <x v="2"/>
    <x v="5"/>
    <x v="0"/>
    <x v="11"/>
    <x v="0"/>
    <n v="367"/>
    <n v="2097"/>
    <x v="78"/>
    <n v="1359"/>
    <n v="498753"/>
    <n v="270846"/>
  </r>
  <r>
    <n v="80"/>
    <x v="69"/>
    <x v="1"/>
    <x v="14"/>
    <x v="1"/>
    <x v="9"/>
    <x v="0"/>
    <n v="90"/>
    <n v="911"/>
    <x v="79"/>
    <n v="382"/>
    <n v="34380"/>
    <n v="47610"/>
  </r>
  <r>
    <n v="81"/>
    <x v="70"/>
    <x v="0"/>
    <x v="2"/>
    <x v="2"/>
    <x v="10"/>
    <x v="0"/>
    <n v="275"/>
    <n v="325"/>
    <x v="80"/>
    <n v="117"/>
    <n v="32175"/>
    <n v="57200"/>
  </r>
  <r>
    <n v="82"/>
    <x v="71"/>
    <x v="3"/>
    <x v="8"/>
    <x v="1"/>
    <x v="1"/>
    <x v="2"/>
    <n v="320"/>
    <n v="1793"/>
    <x v="81"/>
    <n v="1031"/>
    <n v="329920"/>
    <n v="243840"/>
  </r>
  <r>
    <n v="83"/>
    <x v="72"/>
    <x v="0"/>
    <x v="0"/>
    <x v="1"/>
    <x v="9"/>
    <x v="2"/>
    <n v="64"/>
    <n v="4776"/>
    <x v="82"/>
    <n v="692"/>
    <n v="44288"/>
    <n v="261376"/>
  </r>
  <r>
    <n v="84"/>
    <x v="73"/>
    <x v="2"/>
    <x v="3"/>
    <x v="0"/>
    <x v="11"/>
    <x v="2"/>
    <n v="426"/>
    <n v="4909"/>
    <x v="83"/>
    <n v="2149"/>
    <n v="915474"/>
    <n v="1175760"/>
  </r>
  <r>
    <n v="85"/>
    <x v="74"/>
    <x v="0"/>
    <x v="9"/>
    <x v="2"/>
    <x v="2"/>
    <x v="2"/>
    <n v="358"/>
    <n v="3974"/>
    <x v="84"/>
    <n v="3772"/>
    <n v="1350376"/>
    <n v="72316"/>
  </r>
  <r>
    <n v="86"/>
    <x v="75"/>
    <x v="3"/>
    <x v="4"/>
    <x v="0"/>
    <x v="4"/>
    <x v="1"/>
    <n v="334"/>
    <n v="2005"/>
    <x v="85"/>
    <n v="1486"/>
    <n v="496324"/>
    <n v="173346"/>
  </r>
  <r>
    <n v="87"/>
    <x v="76"/>
    <x v="1"/>
    <x v="13"/>
    <x v="2"/>
    <x v="10"/>
    <x v="0"/>
    <n v="14"/>
    <n v="2357"/>
    <x v="86"/>
    <n v="1116"/>
    <n v="15624"/>
    <n v="17374"/>
  </r>
  <r>
    <n v="88"/>
    <x v="77"/>
    <x v="2"/>
    <x v="15"/>
    <x v="2"/>
    <x v="6"/>
    <x v="0"/>
    <n v="48"/>
    <n v="4742"/>
    <x v="87"/>
    <n v="1562"/>
    <n v="74976"/>
    <n v="152640"/>
  </r>
  <r>
    <n v="89"/>
    <x v="78"/>
    <x v="0"/>
    <x v="2"/>
    <x v="1"/>
    <x v="9"/>
    <x v="0"/>
    <n v="103"/>
    <n v="1757"/>
    <x v="88"/>
    <n v="1121"/>
    <n v="115463"/>
    <n v="65508"/>
  </r>
  <r>
    <n v="90"/>
    <x v="79"/>
    <x v="1"/>
    <x v="6"/>
    <x v="3"/>
    <x v="8"/>
    <x v="1"/>
    <n v="113"/>
    <n v="2245"/>
    <x v="89"/>
    <n v="1558"/>
    <n v="176054"/>
    <n v="77631"/>
  </r>
  <r>
    <n v="91"/>
    <x v="45"/>
    <x v="1"/>
    <x v="14"/>
    <x v="0"/>
    <x v="0"/>
    <x v="0"/>
    <n v="262"/>
    <n v="254"/>
    <x v="90"/>
    <n v="197"/>
    <n v="51614"/>
    <n v="14934"/>
  </r>
  <r>
    <n v="92"/>
    <x v="80"/>
    <x v="3"/>
    <x v="4"/>
    <x v="1"/>
    <x v="3"/>
    <x v="2"/>
    <n v="469"/>
    <n v="4906"/>
    <x v="91"/>
    <n v="2350"/>
    <n v="1102150"/>
    <n v="1198764"/>
  </r>
  <r>
    <n v="93"/>
    <x v="81"/>
    <x v="0"/>
    <x v="10"/>
    <x v="1"/>
    <x v="1"/>
    <x v="1"/>
    <n v="75"/>
    <n v="643"/>
    <x v="92"/>
    <n v="369"/>
    <n v="27675"/>
    <n v="20550"/>
  </r>
  <r>
    <n v="94"/>
    <x v="82"/>
    <x v="0"/>
    <x v="9"/>
    <x v="0"/>
    <x v="11"/>
    <x v="2"/>
    <n v="450"/>
    <n v="1631"/>
    <x v="93"/>
    <n v="1036"/>
    <n v="466200"/>
    <n v="267750"/>
  </r>
  <r>
    <n v="95"/>
    <x v="16"/>
    <x v="3"/>
    <x v="4"/>
    <x v="1"/>
    <x v="3"/>
    <x v="1"/>
    <n v="355"/>
    <n v="1926"/>
    <x v="94"/>
    <n v="877"/>
    <n v="311335"/>
    <n v="372395"/>
  </r>
  <r>
    <n v="96"/>
    <x v="83"/>
    <x v="3"/>
    <x v="8"/>
    <x v="1"/>
    <x v="3"/>
    <x v="2"/>
    <n v="290"/>
    <n v="2353"/>
    <x v="95"/>
    <n v="1071"/>
    <n v="310590"/>
    <n v="371780"/>
  </r>
  <r>
    <n v="97"/>
    <x v="84"/>
    <x v="2"/>
    <x v="11"/>
    <x v="1"/>
    <x v="1"/>
    <x v="1"/>
    <n v="227"/>
    <n v="1924"/>
    <x v="96"/>
    <n v="958"/>
    <n v="217466"/>
    <n v="219282"/>
  </r>
  <r>
    <n v="98"/>
    <x v="54"/>
    <x v="2"/>
    <x v="3"/>
    <x v="2"/>
    <x v="10"/>
    <x v="2"/>
    <n v="302"/>
    <n v="1274"/>
    <x v="97"/>
    <n v="568"/>
    <n v="171536"/>
    <n v="213212"/>
  </r>
  <r>
    <n v="99"/>
    <x v="75"/>
    <x v="3"/>
    <x v="8"/>
    <x v="3"/>
    <x v="5"/>
    <x v="2"/>
    <n v="110"/>
    <n v="1394"/>
    <x v="98"/>
    <n v="406"/>
    <n v="44660"/>
    <n v="108680"/>
  </r>
  <r>
    <n v="100"/>
    <x v="85"/>
    <x v="0"/>
    <x v="0"/>
    <x v="3"/>
    <x v="8"/>
    <x v="2"/>
    <n v="467"/>
    <n v="4435"/>
    <x v="99"/>
    <n v="2686"/>
    <n v="1254362"/>
    <n v="816783"/>
  </r>
  <r>
    <n v="101"/>
    <x v="86"/>
    <x v="0"/>
    <x v="2"/>
    <x v="1"/>
    <x v="3"/>
    <x v="0"/>
    <n v="213"/>
    <n v="1010"/>
    <x v="100"/>
    <n v="807"/>
    <n v="171891"/>
    <n v="43239"/>
  </r>
  <r>
    <n v="102"/>
    <x v="87"/>
    <x v="1"/>
    <x v="14"/>
    <x v="3"/>
    <x v="8"/>
    <x v="2"/>
    <n v="59"/>
    <n v="3885"/>
    <x v="101"/>
    <n v="3149"/>
    <n v="185791"/>
    <n v="43424"/>
  </r>
  <r>
    <n v="103"/>
    <x v="88"/>
    <x v="2"/>
    <x v="3"/>
    <x v="1"/>
    <x v="1"/>
    <x v="0"/>
    <n v="487"/>
    <n v="2311"/>
    <x v="102"/>
    <n v="1509"/>
    <n v="734883"/>
    <n v="390574"/>
  </r>
  <r>
    <n v="104"/>
    <x v="55"/>
    <x v="3"/>
    <x v="4"/>
    <x v="0"/>
    <x v="4"/>
    <x v="0"/>
    <n v="111"/>
    <n v="4925"/>
    <x v="103"/>
    <n v="4817"/>
    <n v="534687"/>
    <n v="11988"/>
  </r>
  <r>
    <n v="105"/>
    <x v="89"/>
    <x v="1"/>
    <x v="13"/>
    <x v="1"/>
    <x v="1"/>
    <x v="0"/>
    <n v="259"/>
    <n v="3861"/>
    <x v="104"/>
    <n v="3743"/>
    <n v="969437"/>
    <n v="30562"/>
  </r>
  <r>
    <n v="106"/>
    <x v="90"/>
    <x v="3"/>
    <x v="4"/>
    <x v="1"/>
    <x v="1"/>
    <x v="0"/>
    <n v="454"/>
    <n v="1572"/>
    <x v="105"/>
    <n v="1411"/>
    <n v="640594"/>
    <n v="73094"/>
  </r>
  <r>
    <n v="107"/>
    <x v="91"/>
    <x v="2"/>
    <x v="11"/>
    <x v="2"/>
    <x v="2"/>
    <x v="1"/>
    <n v="185"/>
    <n v="2069"/>
    <x v="106"/>
    <n v="742"/>
    <n v="137270"/>
    <n v="245495"/>
  </r>
  <r>
    <n v="108"/>
    <x v="92"/>
    <x v="2"/>
    <x v="3"/>
    <x v="1"/>
    <x v="3"/>
    <x v="0"/>
    <n v="148"/>
    <n v="3844"/>
    <x v="107"/>
    <n v="3298"/>
    <n v="488104"/>
    <n v="80808"/>
  </r>
  <r>
    <n v="109"/>
    <x v="93"/>
    <x v="2"/>
    <x v="11"/>
    <x v="2"/>
    <x v="2"/>
    <x v="1"/>
    <n v="74"/>
    <n v="2122"/>
    <x v="108"/>
    <n v="1455"/>
    <n v="107670"/>
    <n v="49358"/>
  </r>
  <r>
    <n v="110"/>
    <x v="94"/>
    <x v="2"/>
    <x v="15"/>
    <x v="3"/>
    <x v="7"/>
    <x v="2"/>
    <n v="58"/>
    <n v="722"/>
    <x v="109"/>
    <n v="584"/>
    <n v="33872"/>
    <n v="8004"/>
  </r>
  <r>
    <n v="111"/>
    <x v="95"/>
    <x v="3"/>
    <x v="7"/>
    <x v="2"/>
    <x v="6"/>
    <x v="1"/>
    <n v="144"/>
    <n v="1472"/>
    <x v="110"/>
    <n v="272"/>
    <n v="39168"/>
    <n v="172800"/>
  </r>
  <r>
    <n v="112"/>
    <x v="61"/>
    <x v="0"/>
    <x v="2"/>
    <x v="3"/>
    <x v="7"/>
    <x v="0"/>
    <n v="236"/>
    <n v="1235"/>
    <x v="111"/>
    <n v="368"/>
    <n v="86848"/>
    <n v="204612"/>
  </r>
  <r>
    <n v="113"/>
    <x v="96"/>
    <x v="1"/>
    <x v="14"/>
    <x v="0"/>
    <x v="11"/>
    <x v="2"/>
    <n v="452"/>
    <n v="4100"/>
    <x v="112"/>
    <n v="2013"/>
    <n v="909876"/>
    <n v="943324"/>
  </r>
  <r>
    <n v="114"/>
    <x v="97"/>
    <x v="2"/>
    <x v="11"/>
    <x v="3"/>
    <x v="5"/>
    <x v="0"/>
    <n v="312"/>
    <n v="3940"/>
    <x v="113"/>
    <n v="2684"/>
    <n v="837408"/>
    <n v="391872"/>
  </r>
  <r>
    <n v="115"/>
    <x v="98"/>
    <x v="0"/>
    <x v="2"/>
    <x v="1"/>
    <x v="1"/>
    <x v="0"/>
    <n v="422"/>
    <n v="933"/>
    <x v="114"/>
    <n v="552"/>
    <n v="232944"/>
    <n v="160782"/>
  </r>
  <r>
    <n v="116"/>
    <x v="99"/>
    <x v="2"/>
    <x v="3"/>
    <x v="2"/>
    <x v="10"/>
    <x v="1"/>
    <n v="15"/>
    <n v="200"/>
    <x v="115"/>
    <n v="133"/>
    <n v="1995"/>
    <n v="1005"/>
  </r>
  <r>
    <n v="117"/>
    <x v="100"/>
    <x v="1"/>
    <x v="13"/>
    <x v="1"/>
    <x v="1"/>
    <x v="0"/>
    <n v="362"/>
    <n v="4229"/>
    <x v="116"/>
    <n v="3978"/>
    <n v="1440036"/>
    <n v="90862"/>
  </r>
  <r>
    <n v="118"/>
    <x v="35"/>
    <x v="0"/>
    <x v="2"/>
    <x v="0"/>
    <x v="4"/>
    <x v="2"/>
    <n v="128"/>
    <n v="259"/>
    <x v="117"/>
    <n v="170"/>
    <n v="21760"/>
    <n v="11392"/>
  </r>
  <r>
    <n v="119"/>
    <x v="92"/>
    <x v="2"/>
    <x v="5"/>
    <x v="2"/>
    <x v="6"/>
    <x v="2"/>
    <n v="137"/>
    <n v="1537"/>
    <x v="118"/>
    <n v="1422"/>
    <n v="194814"/>
    <n v="15755"/>
  </r>
  <r>
    <n v="120"/>
    <x v="101"/>
    <x v="0"/>
    <x v="9"/>
    <x v="3"/>
    <x v="8"/>
    <x v="1"/>
    <n v="330"/>
    <n v="2162"/>
    <x v="119"/>
    <n v="1158"/>
    <n v="382140"/>
    <n v="331320"/>
  </r>
  <r>
    <n v="121"/>
    <x v="57"/>
    <x v="2"/>
    <x v="3"/>
    <x v="1"/>
    <x v="1"/>
    <x v="1"/>
    <n v="103"/>
    <n v="1319"/>
    <x v="120"/>
    <n v="693"/>
    <n v="71379"/>
    <n v="64478"/>
  </r>
  <r>
    <n v="122"/>
    <x v="102"/>
    <x v="3"/>
    <x v="4"/>
    <x v="2"/>
    <x v="10"/>
    <x v="0"/>
    <n v="261"/>
    <n v="1738"/>
    <x v="121"/>
    <n v="756"/>
    <n v="197316"/>
    <n v="256302"/>
  </r>
  <r>
    <n v="123"/>
    <x v="83"/>
    <x v="3"/>
    <x v="12"/>
    <x v="0"/>
    <x v="11"/>
    <x v="1"/>
    <n v="62"/>
    <n v="2511"/>
    <x v="122"/>
    <n v="1202"/>
    <n v="74524"/>
    <n v="81158"/>
  </r>
  <r>
    <n v="124"/>
    <x v="103"/>
    <x v="1"/>
    <x v="1"/>
    <x v="0"/>
    <x v="0"/>
    <x v="1"/>
    <n v="17"/>
    <n v="4243"/>
    <x v="123"/>
    <n v="989"/>
    <n v="16813"/>
    <n v="55318"/>
  </r>
  <r>
    <n v="125"/>
    <x v="104"/>
    <x v="2"/>
    <x v="11"/>
    <x v="1"/>
    <x v="1"/>
    <x v="2"/>
    <n v="366"/>
    <n v="459"/>
    <x v="124"/>
    <n v="269"/>
    <n v="98454"/>
    <n v="69540"/>
  </r>
  <r>
    <n v="126"/>
    <x v="105"/>
    <x v="3"/>
    <x v="12"/>
    <x v="0"/>
    <x v="4"/>
    <x v="2"/>
    <n v="288"/>
    <n v="4051"/>
    <x v="125"/>
    <n v="843"/>
    <n v="242784"/>
    <n v="923904"/>
  </r>
  <r>
    <n v="127"/>
    <x v="10"/>
    <x v="1"/>
    <x v="13"/>
    <x v="2"/>
    <x v="2"/>
    <x v="1"/>
    <n v="137"/>
    <n v="3352"/>
    <x v="126"/>
    <n v="3258"/>
    <n v="446346"/>
    <n v="12878"/>
  </r>
  <r>
    <n v="128"/>
    <x v="106"/>
    <x v="0"/>
    <x v="10"/>
    <x v="0"/>
    <x v="0"/>
    <x v="2"/>
    <n v="276"/>
    <n v="1907"/>
    <x v="127"/>
    <n v="1068"/>
    <n v="294768"/>
    <n v="231564"/>
  </r>
  <r>
    <n v="129"/>
    <x v="107"/>
    <x v="0"/>
    <x v="2"/>
    <x v="1"/>
    <x v="9"/>
    <x v="0"/>
    <n v="391"/>
    <n v="4702"/>
    <x v="128"/>
    <n v="4367"/>
    <n v="1707497"/>
    <n v="130985"/>
  </r>
  <r>
    <n v="130"/>
    <x v="108"/>
    <x v="3"/>
    <x v="8"/>
    <x v="2"/>
    <x v="6"/>
    <x v="2"/>
    <n v="194"/>
    <n v="626"/>
    <x v="129"/>
    <n v="542"/>
    <n v="105148"/>
    <n v="16296"/>
  </r>
  <r>
    <n v="131"/>
    <x v="96"/>
    <x v="1"/>
    <x v="14"/>
    <x v="3"/>
    <x v="5"/>
    <x v="2"/>
    <n v="17"/>
    <n v="1571"/>
    <x v="130"/>
    <n v="665"/>
    <n v="11305"/>
    <n v="15402"/>
  </r>
  <r>
    <n v="132"/>
    <x v="109"/>
    <x v="3"/>
    <x v="4"/>
    <x v="3"/>
    <x v="7"/>
    <x v="1"/>
    <n v="411"/>
    <n v="4093"/>
    <x v="131"/>
    <n v="2919"/>
    <n v="1199709"/>
    <n v="482514"/>
  </r>
  <r>
    <n v="133"/>
    <x v="84"/>
    <x v="1"/>
    <x v="13"/>
    <x v="0"/>
    <x v="0"/>
    <x v="1"/>
    <n v="56"/>
    <n v="2972"/>
    <x v="132"/>
    <n v="2660"/>
    <n v="148960"/>
    <n v="17472"/>
  </r>
  <r>
    <n v="134"/>
    <x v="28"/>
    <x v="3"/>
    <x v="7"/>
    <x v="1"/>
    <x v="3"/>
    <x v="1"/>
    <n v="284"/>
    <n v="1079"/>
    <x v="133"/>
    <n v="228"/>
    <n v="64752"/>
    <n v="241684"/>
  </r>
  <r>
    <n v="135"/>
    <x v="110"/>
    <x v="0"/>
    <x v="10"/>
    <x v="1"/>
    <x v="3"/>
    <x v="0"/>
    <n v="422"/>
    <n v="3793"/>
    <x v="134"/>
    <n v="3103"/>
    <n v="1309466"/>
    <n v="291180"/>
  </r>
  <r>
    <n v="136"/>
    <x v="85"/>
    <x v="1"/>
    <x v="14"/>
    <x v="2"/>
    <x v="10"/>
    <x v="0"/>
    <n v="138"/>
    <n v="523"/>
    <x v="135"/>
    <n v="348"/>
    <n v="48024"/>
    <n v="24150"/>
  </r>
  <r>
    <n v="137"/>
    <x v="83"/>
    <x v="0"/>
    <x v="2"/>
    <x v="2"/>
    <x v="2"/>
    <x v="0"/>
    <n v="288"/>
    <n v="3048"/>
    <x v="136"/>
    <n v="1425"/>
    <n v="410400"/>
    <n v="467424"/>
  </r>
  <r>
    <n v="138"/>
    <x v="111"/>
    <x v="0"/>
    <x v="2"/>
    <x v="3"/>
    <x v="7"/>
    <x v="0"/>
    <n v="240"/>
    <n v="2622"/>
    <x v="137"/>
    <n v="1178"/>
    <n v="282720"/>
    <n v="346560"/>
  </r>
  <r>
    <n v="139"/>
    <x v="112"/>
    <x v="2"/>
    <x v="11"/>
    <x v="0"/>
    <x v="11"/>
    <x v="0"/>
    <n v="385"/>
    <n v="1719"/>
    <x v="138"/>
    <n v="138"/>
    <n v="53130"/>
    <n v="608685"/>
  </r>
  <r>
    <n v="140"/>
    <x v="2"/>
    <x v="2"/>
    <x v="5"/>
    <x v="1"/>
    <x v="3"/>
    <x v="1"/>
    <n v="285"/>
    <n v="3374"/>
    <x v="139"/>
    <n v="877"/>
    <n v="249945"/>
    <n v="711645"/>
  </r>
  <r>
    <n v="141"/>
    <x v="24"/>
    <x v="0"/>
    <x v="10"/>
    <x v="1"/>
    <x v="1"/>
    <x v="2"/>
    <n v="174"/>
    <n v="1104"/>
    <x v="140"/>
    <n v="198"/>
    <n v="34452"/>
    <n v="157644"/>
  </r>
  <r>
    <n v="142"/>
    <x v="113"/>
    <x v="3"/>
    <x v="7"/>
    <x v="3"/>
    <x v="7"/>
    <x v="1"/>
    <n v="64"/>
    <n v="4176"/>
    <x v="141"/>
    <n v="884"/>
    <n v="56576"/>
    <n v="210688"/>
  </r>
  <r>
    <n v="143"/>
    <x v="114"/>
    <x v="3"/>
    <x v="7"/>
    <x v="2"/>
    <x v="6"/>
    <x v="2"/>
    <n v="329"/>
    <n v="2296"/>
    <x v="142"/>
    <n v="301"/>
    <n v="99029"/>
    <n v="656355"/>
  </r>
  <r>
    <n v="144"/>
    <x v="39"/>
    <x v="2"/>
    <x v="5"/>
    <x v="0"/>
    <x v="0"/>
    <x v="1"/>
    <n v="261"/>
    <n v="855"/>
    <x v="143"/>
    <n v="579"/>
    <n v="151119"/>
    <n v="72036"/>
  </r>
  <r>
    <n v="145"/>
    <x v="115"/>
    <x v="3"/>
    <x v="8"/>
    <x v="2"/>
    <x v="10"/>
    <x v="0"/>
    <n v="431"/>
    <n v="2377"/>
    <x v="144"/>
    <n v="2266"/>
    <n v="976646"/>
    <n v="47841"/>
  </r>
  <r>
    <n v="146"/>
    <x v="116"/>
    <x v="3"/>
    <x v="7"/>
    <x v="1"/>
    <x v="9"/>
    <x v="1"/>
    <n v="59"/>
    <n v="1029"/>
    <x v="145"/>
    <n v="842"/>
    <n v="49678"/>
    <n v="11033"/>
  </r>
  <r>
    <n v="147"/>
    <x v="117"/>
    <x v="1"/>
    <x v="1"/>
    <x v="3"/>
    <x v="7"/>
    <x v="0"/>
    <n v="137"/>
    <n v="4869"/>
    <x v="146"/>
    <n v="1565"/>
    <n v="214405"/>
    <n v="452648"/>
  </r>
  <r>
    <n v="148"/>
    <x v="28"/>
    <x v="0"/>
    <x v="0"/>
    <x v="1"/>
    <x v="3"/>
    <x v="2"/>
    <n v="350"/>
    <n v="3698"/>
    <x v="147"/>
    <n v="526"/>
    <n v="184100"/>
    <n v="1110200"/>
  </r>
  <r>
    <n v="149"/>
    <x v="117"/>
    <x v="1"/>
    <x v="6"/>
    <x v="2"/>
    <x v="6"/>
    <x v="2"/>
    <n v="90"/>
    <n v="4573"/>
    <x v="148"/>
    <n v="3729"/>
    <n v="335610"/>
    <n v="75960"/>
  </r>
  <r>
    <n v="150"/>
    <x v="118"/>
    <x v="2"/>
    <x v="3"/>
    <x v="1"/>
    <x v="1"/>
    <x v="2"/>
    <n v="230"/>
    <n v="2849"/>
    <x v="149"/>
    <n v="2592"/>
    <n v="596160"/>
    <n v="59110"/>
  </r>
  <r>
    <n v="151"/>
    <x v="119"/>
    <x v="1"/>
    <x v="6"/>
    <x v="2"/>
    <x v="6"/>
    <x v="0"/>
    <n v="194"/>
    <n v="3906"/>
    <x v="150"/>
    <n v="1932"/>
    <n v="374808"/>
    <n v="382956"/>
  </r>
  <r>
    <n v="152"/>
    <x v="120"/>
    <x v="0"/>
    <x v="0"/>
    <x v="0"/>
    <x v="4"/>
    <x v="0"/>
    <n v="275"/>
    <n v="1306"/>
    <x v="151"/>
    <n v="718"/>
    <n v="197450"/>
    <n v="161700"/>
  </r>
  <r>
    <n v="153"/>
    <x v="93"/>
    <x v="3"/>
    <x v="8"/>
    <x v="3"/>
    <x v="7"/>
    <x v="2"/>
    <n v="405"/>
    <n v="2460"/>
    <x v="152"/>
    <n v="2367"/>
    <n v="958635"/>
    <n v="37665"/>
  </r>
  <r>
    <n v="154"/>
    <x v="111"/>
    <x v="1"/>
    <x v="14"/>
    <x v="0"/>
    <x v="4"/>
    <x v="2"/>
    <n v="80"/>
    <n v="2370"/>
    <x v="153"/>
    <n v="1603"/>
    <n v="128240"/>
    <n v="61360"/>
  </r>
  <r>
    <n v="155"/>
    <x v="121"/>
    <x v="1"/>
    <x v="6"/>
    <x v="1"/>
    <x v="1"/>
    <x v="1"/>
    <n v="214"/>
    <n v="4861"/>
    <x v="154"/>
    <n v="1881"/>
    <n v="402534"/>
    <n v="637720"/>
  </r>
  <r>
    <n v="156"/>
    <x v="122"/>
    <x v="3"/>
    <x v="8"/>
    <x v="2"/>
    <x v="2"/>
    <x v="2"/>
    <n v="369"/>
    <n v="4920"/>
    <x v="155"/>
    <n v="881"/>
    <n v="325089"/>
    <n v="1490391"/>
  </r>
  <r>
    <n v="157"/>
    <x v="123"/>
    <x v="2"/>
    <x v="15"/>
    <x v="2"/>
    <x v="2"/>
    <x v="1"/>
    <n v="188"/>
    <n v="3757"/>
    <x v="156"/>
    <n v="1806"/>
    <n v="339528"/>
    <n v="366788"/>
  </r>
  <r>
    <n v="158"/>
    <x v="75"/>
    <x v="3"/>
    <x v="12"/>
    <x v="0"/>
    <x v="11"/>
    <x v="0"/>
    <n v="37"/>
    <n v="2696"/>
    <x v="157"/>
    <n v="2247"/>
    <n v="83139"/>
    <n v="16613"/>
  </r>
  <r>
    <n v="159"/>
    <x v="124"/>
    <x v="3"/>
    <x v="8"/>
    <x v="3"/>
    <x v="8"/>
    <x v="0"/>
    <n v="123"/>
    <n v="1454"/>
    <x v="158"/>
    <n v="203"/>
    <n v="24969"/>
    <n v="153873"/>
  </r>
  <r>
    <n v="160"/>
    <x v="44"/>
    <x v="0"/>
    <x v="9"/>
    <x v="0"/>
    <x v="0"/>
    <x v="2"/>
    <n v="412"/>
    <n v="3430"/>
    <x v="159"/>
    <n v="706"/>
    <n v="290872"/>
    <n v="1122288"/>
  </r>
  <r>
    <n v="161"/>
    <x v="125"/>
    <x v="1"/>
    <x v="13"/>
    <x v="0"/>
    <x v="4"/>
    <x v="0"/>
    <n v="290"/>
    <n v="3470"/>
    <x v="160"/>
    <n v="1175"/>
    <n v="340750"/>
    <n v="665550"/>
  </r>
  <r>
    <n v="162"/>
    <x v="126"/>
    <x v="3"/>
    <x v="4"/>
    <x v="2"/>
    <x v="6"/>
    <x v="1"/>
    <n v="256"/>
    <n v="4781"/>
    <x v="161"/>
    <n v="1722"/>
    <n v="440832"/>
    <n v="783104"/>
  </r>
  <r>
    <n v="163"/>
    <x v="127"/>
    <x v="0"/>
    <x v="9"/>
    <x v="3"/>
    <x v="5"/>
    <x v="0"/>
    <n v="136"/>
    <n v="2185"/>
    <x v="162"/>
    <n v="246"/>
    <n v="33456"/>
    <n v="263704"/>
  </r>
  <r>
    <n v="164"/>
    <x v="128"/>
    <x v="2"/>
    <x v="11"/>
    <x v="1"/>
    <x v="3"/>
    <x v="0"/>
    <n v="67"/>
    <n v="3588"/>
    <x v="163"/>
    <n v="1834"/>
    <n v="122878"/>
    <n v="117518"/>
  </r>
  <r>
    <n v="165"/>
    <x v="129"/>
    <x v="2"/>
    <x v="3"/>
    <x v="3"/>
    <x v="8"/>
    <x v="2"/>
    <n v="345"/>
    <n v="398"/>
    <x v="164"/>
    <n v="297"/>
    <n v="102465"/>
    <n v="34845"/>
  </r>
  <r>
    <n v="166"/>
    <x v="56"/>
    <x v="2"/>
    <x v="5"/>
    <x v="1"/>
    <x v="3"/>
    <x v="2"/>
    <n v="84"/>
    <n v="3808"/>
    <x v="165"/>
    <n v="283"/>
    <n v="23772"/>
    <n v="296100"/>
  </r>
  <r>
    <n v="167"/>
    <x v="130"/>
    <x v="1"/>
    <x v="6"/>
    <x v="1"/>
    <x v="9"/>
    <x v="0"/>
    <n v="67"/>
    <n v="646"/>
    <x v="166"/>
    <n v="224"/>
    <n v="15008"/>
    <n v="28274"/>
  </r>
  <r>
    <n v="168"/>
    <x v="131"/>
    <x v="1"/>
    <x v="13"/>
    <x v="0"/>
    <x v="4"/>
    <x v="0"/>
    <n v="166"/>
    <n v="3886"/>
    <x v="167"/>
    <n v="2029"/>
    <n v="336814"/>
    <n v="308262"/>
  </r>
  <r>
    <n v="169"/>
    <x v="132"/>
    <x v="3"/>
    <x v="8"/>
    <x v="3"/>
    <x v="5"/>
    <x v="0"/>
    <n v="114"/>
    <n v="4676"/>
    <x v="168"/>
    <n v="4386"/>
    <n v="500004"/>
    <n v="33060"/>
  </r>
  <r>
    <n v="170"/>
    <x v="133"/>
    <x v="2"/>
    <x v="11"/>
    <x v="3"/>
    <x v="5"/>
    <x v="0"/>
    <n v="19"/>
    <n v="3285"/>
    <x v="169"/>
    <n v="2487"/>
    <n v="47253"/>
    <n v="15162"/>
  </r>
  <r>
    <n v="171"/>
    <x v="70"/>
    <x v="3"/>
    <x v="8"/>
    <x v="3"/>
    <x v="7"/>
    <x v="2"/>
    <n v="414"/>
    <n v="2422"/>
    <x v="170"/>
    <n v="317"/>
    <n v="131238"/>
    <n v="871470"/>
  </r>
  <r>
    <n v="172"/>
    <x v="134"/>
    <x v="0"/>
    <x v="0"/>
    <x v="0"/>
    <x v="4"/>
    <x v="0"/>
    <n v="349"/>
    <n v="3150"/>
    <x v="171"/>
    <n v="541"/>
    <n v="188809"/>
    <n v="910541"/>
  </r>
  <r>
    <n v="173"/>
    <x v="135"/>
    <x v="3"/>
    <x v="8"/>
    <x v="2"/>
    <x v="2"/>
    <x v="2"/>
    <n v="373"/>
    <n v="1015"/>
    <x v="172"/>
    <n v="423"/>
    <n v="157779"/>
    <n v="220816"/>
  </r>
  <r>
    <n v="174"/>
    <x v="74"/>
    <x v="0"/>
    <x v="0"/>
    <x v="3"/>
    <x v="7"/>
    <x v="0"/>
    <n v="297"/>
    <n v="376"/>
    <x v="173"/>
    <n v="110"/>
    <n v="32670"/>
    <n v="79002"/>
  </r>
  <r>
    <n v="175"/>
    <x v="136"/>
    <x v="1"/>
    <x v="13"/>
    <x v="1"/>
    <x v="1"/>
    <x v="2"/>
    <n v="19"/>
    <n v="3040"/>
    <x v="174"/>
    <n v="2902"/>
    <n v="55138"/>
    <n v="2622"/>
  </r>
  <r>
    <n v="176"/>
    <x v="137"/>
    <x v="2"/>
    <x v="3"/>
    <x v="1"/>
    <x v="9"/>
    <x v="0"/>
    <n v="425"/>
    <n v="707"/>
    <x v="175"/>
    <n v="363"/>
    <n v="154275"/>
    <n v="146200"/>
  </r>
  <r>
    <n v="177"/>
    <x v="138"/>
    <x v="0"/>
    <x v="0"/>
    <x v="1"/>
    <x v="9"/>
    <x v="1"/>
    <n v="469"/>
    <n v="3418"/>
    <x v="176"/>
    <n v="2790"/>
    <n v="1308510"/>
    <n v="294532"/>
  </r>
  <r>
    <n v="178"/>
    <x v="139"/>
    <x v="1"/>
    <x v="14"/>
    <x v="2"/>
    <x v="6"/>
    <x v="0"/>
    <n v="456"/>
    <n v="2063"/>
    <x v="177"/>
    <n v="954"/>
    <n v="435024"/>
    <n v="505704"/>
  </r>
  <r>
    <n v="179"/>
    <x v="40"/>
    <x v="1"/>
    <x v="6"/>
    <x v="2"/>
    <x v="10"/>
    <x v="0"/>
    <n v="239"/>
    <n v="4641"/>
    <x v="178"/>
    <n v="1179"/>
    <n v="281781"/>
    <n v="827418"/>
  </r>
  <r>
    <n v="180"/>
    <x v="140"/>
    <x v="1"/>
    <x v="6"/>
    <x v="3"/>
    <x v="7"/>
    <x v="2"/>
    <n v="371"/>
    <n v="4491"/>
    <x v="179"/>
    <n v="1207"/>
    <n v="447797"/>
    <n v="1218364"/>
  </r>
  <r>
    <n v="181"/>
    <x v="88"/>
    <x v="0"/>
    <x v="10"/>
    <x v="3"/>
    <x v="8"/>
    <x v="1"/>
    <n v="282"/>
    <n v="1169"/>
    <x v="180"/>
    <n v="288"/>
    <n v="81216"/>
    <n v="248442"/>
  </r>
  <r>
    <n v="182"/>
    <x v="141"/>
    <x v="2"/>
    <x v="5"/>
    <x v="0"/>
    <x v="4"/>
    <x v="2"/>
    <n v="165"/>
    <n v="3829"/>
    <x v="181"/>
    <n v="3154"/>
    <n v="520410"/>
    <n v="111375"/>
  </r>
  <r>
    <n v="183"/>
    <x v="142"/>
    <x v="2"/>
    <x v="5"/>
    <x v="3"/>
    <x v="7"/>
    <x v="1"/>
    <n v="23"/>
    <n v="2386"/>
    <x v="182"/>
    <n v="1045"/>
    <n v="24035"/>
    <n v="30843"/>
  </r>
  <r>
    <n v="184"/>
    <x v="140"/>
    <x v="1"/>
    <x v="6"/>
    <x v="0"/>
    <x v="4"/>
    <x v="1"/>
    <n v="409"/>
    <n v="4104"/>
    <x v="183"/>
    <n v="649"/>
    <n v="265441"/>
    <n v="1413095"/>
  </r>
  <r>
    <n v="185"/>
    <x v="33"/>
    <x v="0"/>
    <x v="2"/>
    <x v="3"/>
    <x v="8"/>
    <x v="2"/>
    <n v="80"/>
    <n v="1541"/>
    <x v="184"/>
    <n v="495"/>
    <n v="39600"/>
    <n v="83680"/>
  </r>
  <r>
    <n v="186"/>
    <x v="143"/>
    <x v="1"/>
    <x v="14"/>
    <x v="2"/>
    <x v="2"/>
    <x v="2"/>
    <n v="123"/>
    <n v="1861"/>
    <x v="185"/>
    <n v="1651"/>
    <n v="203073"/>
    <n v="25830"/>
  </r>
  <r>
    <n v="187"/>
    <x v="144"/>
    <x v="1"/>
    <x v="14"/>
    <x v="3"/>
    <x v="8"/>
    <x v="0"/>
    <n v="362"/>
    <n v="2861"/>
    <x v="186"/>
    <n v="1974"/>
    <n v="714588"/>
    <n v="321094"/>
  </r>
  <r>
    <n v="188"/>
    <x v="112"/>
    <x v="1"/>
    <x v="1"/>
    <x v="2"/>
    <x v="2"/>
    <x v="0"/>
    <n v="378"/>
    <n v="2763"/>
    <x v="187"/>
    <n v="1714"/>
    <n v="647892"/>
    <n v="396522"/>
  </r>
  <r>
    <n v="189"/>
    <x v="145"/>
    <x v="3"/>
    <x v="7"/>
    <x v="2"/>
    <x v="10"/>
    <x v="1"/>
    <n v="275"/>
    <n v="4606"/>
    <x v="188"/>
    <n v="3340"/>
    <n v="918500"/>
    <n v="348150"/>
  </r>
  <r>
    <n v="190"/>
    <x v="146"/>
    <x v="3"/>
    <x v="4"/>
    <x v="0"/>
    <x v="0"/>
    <x v="2"/>
    <n v="213"/>
    <n v="2694"/>
    <x v="189"/>
    <n v="1271"/>
    <n v="270723"/>
    <n v="303099"/>
  </r>
  <r>
    <n v="191"/>
    <x v="147"/>
    <x v="0"/>
    <x v="10"/>
    <x v="2"/>
    <x v="10"/>
    <x v="0"/>
    <n v="363"/>
    <n v="4435"/>
    <x v="190"/>
    <n v="1265"/>
    <n v="459195"/>
    <n v="1150710"/>
  </r>
  <r>
    <n v="192"/>
    <x v="148"/>
    <x v="0"/>
    <x v="9"/>
    <x v="0"/>
    <x v="11"/>
    <x v="0"/>
    <n v="102"/>
    <n v="4995"/>
    <x v="191"/>
    <n v="4576"/>
    <n v="466752"/>
    <n v="42738"/>
  </r>
  <r>
    <n v="193"/>
    <x v="149"/>
    <x v="1"/>
    <x v="1"/>
    <x v="2"/>
    <x v="10"/>
    <x v="2"/>
    <n v="101"/>
    <n v="3916"/>
    <x v="192"/>
    <n v="2517"/>
    <n v="254217"/>
    <n v="141299"/>
  </r>
  <r>
    <n v="194"/>
    <x v="7"/>
    <x v="1"/>
    <x v="1"/>
    <x v="0"/>
    <x v="4"/>
    <x v="2"/>
    <n v="342"/>
    <n v="1543"/>
    <x v="193"/>
    <n v="353"/>
    <n v="120726"/>
    <n v="406980"/>
  </r>
  <r>
    <n v="195"/>
    <x v="130"/>
    <x v="3"/>
    <x v="7"/>
    <x v="2"/>
    <x v="6"/>
    <x v="2"/>
    <n v="278"/>
    <n v="3346"/>
    <x v="194"/>
    <n v="3077"/>
    <n v="855406"/>
    <n v="74782"/>
  </r>
  <r>
    <n v="196"/>
    <x v="123"/>
    <x v="1"/>
    <x v="1"/>
    <x v="2"/>
    <x v="2"/>
    <x v="1"/>
    <n v="299"/>
    <n v="1429"/>
    <x v="195"/>
    <n v="432"/>
    <n v="129168"/>
    <n v="298103"/>
  </r>
  <r>
    <n v="197"/>
    <x v="150"/>
    <x v="1"/>
    <x v="6"/>
    <x v="0"/>
    <x v="4"/>
    <x v="2"/>
    <n v="383"/>
    <n v="3855"/>
    <x v="196"/>
    <n v="1282"/>
    <n v="491006"/>
    <n v="985459"/>
  </r>
  <r>
    <n v="198"/>
    <x v="102"/>
    <x v="1"/>
    <x v="14"/>
    <x v="3"/>
    <x v="7"/>
    <x v="1"/>
    <n v="401"/>
    <n v="2273"/>
    <x v="197"/>
    <n v="150"/>
    <n v="60150"/>
    <n v="851323"/>
  </r>
  <r>
    <n v="199"/>
    <x v="66"/>
    <x v="0"/>
    <x v="9"/>
    <x v="2"/>
    <x v="6"/>
    <x v="1"/>
    <n v="461"/>
    <n v="4242"/>
    <x v="198"/>
    <n v="1074"/>
    <n v="495114"/>
    <n v="1460448"/>
  </r>
  <r>
    <n v="200"/>
    <x v="151"/>
    <x v="1"/>
    <x v="1"/>
    <x v="2"/>
    <x v="10"/>
    <x v="2"/>
    <n v="317"/>
    <n v="253"/>
    <x v="199"/>
    <n v="131"/>
    <n v="41527"/>
    <n v="38674"/>
  </r>
  <r>
    <n v="201"/>
    <x v="152"/>
    <x v="2"/>
    <x v="5"/>
    <x v="0"/>
    <x v="0"/>
    <x v="1"/>
    <n v="344"/>
    <n v="3059"/>
    <x v="200"/>
    <n v="250"/>
    <n v="86000"/>
    <n v="966296"/>
  </r>
  <r>
    <n v="202"/>
    <x v="125"/>
    <x v="1"/>
    <x v="14"/>
    <x v="1"/>
    <x v="1"/>
    <x v="1"/>
    <n v="65"/>
    <n v="3615"/>
    <x v="201"/>
    <n v="830"/>
    <n v="53950"/>
    <n v="181025"/>
  </r>
  <r>
    <n v="203"/>
    <x v="49"/>
    <x v="1"/>
    <x v="13"/>
    <x v="3"/>
    <x v="8"/>
    <x v="0"/>
    <n v="194"/>
    <n v="493"/>
    <x v="202"/>
    <n v="147"/>
    <n v="28518"/>
    <n v="67124"/>
  </r>
  <r>
    <n v="204"/>
    <x v="153"/>
    <x v="2"/>
    <x v="3"/>
    <x v="1"/>
    <x v="1"/>
    <x v="1"/>
    <n v="441"/>
    <n v="4709"/>
    <x v="203"/>
    <n v="631"/>
    <n v="278271"/>
    <n v="1798398"/>
  </r>
  <r>
    <n v="205"/>
    <x v="154"/>
    <x v="2"/>
    <x v="11"/>
    <x v="3"/>
    <x v="7"/>
    <x v="0"/>
    <n v="178"/>
    <n v="4517"/>
    <x v="204"/>
    <n v="3489"/>
    <n v="621042"/>
    <n v="182984"/>
  </r>
  <r>
    <n v="206"/>
    <x v="87"/>
    <x v="1"/>
    <x v="6"/>
    <x v="0"/>
    <x v="0"/>
    <x v="0"/>
    <n v="280"/>
    <n v="918"/>
    <x v="205"/>
    <n v="595"/>
    <n v="166600"/>
    <n v="90440"/>
  </r>
  <r>
    <n v="207"/>
    <x v="30"/>
    <x v="2"/>
    <x v="11"/>
    <x v="1"/>
    <x v="1"/>
    <x v="0"/>
    <n v="329"/>
    <n v="3098"/>
    <x v="206"/>
    <n v="631"/>
    <n v="207599"/>
    <n v="811643"/>
  </r>
  <r>
    <n v="208"/>
    <x v="155"/>
    <x v="0"/>
    <x v="9"/>
    <x v="2"/>
    <x v="2"/>
    <x v="0"/>
    <n v="372"/>
    <n v="2579"/>
    <x v="207"/>
    <n v="892"/>
    <n v="331824"/>
    <n v="627564"/>
  </r>
  <r>
    <n v="209"/>
    <x v="51"/>
    <x v="3"/>
    <x v="7"/>
    <x v="0"/>
    <x v="4"/>
    <x v="0"/>
    <n v="387"/>
    <n v="1898"/>
    <x v="208"/>
    <n v="1737"/>
    <n v="672219"/>
    <n v="62307"/>
  </r>
  <r>
    <n v="210"/>
    <x v="63"/>
    <x v="0"/>
    <x v="9"/>
    <x v="0"/>
    <x v="4"/>
    <x v="2"/>
    <n v="422"/>
    <n v="1939"/>
    <x v="209"/>
    <n v="123"/>
    <n v="51906"/>
    <n v="766352"/>
  </r>
  <r>
    <n v="211"/>
    <x v="156"/>
    <x v="1"/>
    <x v="13"/>
    <x v="1"/>
    <x v="9"/>
    <x v="2"/>
    <n v="269"/>
    <n v="4705"/>
    <x v="210"/>
    <n v="2753"/>
    <n v="740557"/>
    <n v="525088"/>
  </r>
  <r>
    <n v="212"/>
    <x v="157"/>
    <x v="3"/>
    <x v="7"/>
    <x v="1"/>
    <x v="1"/>
    <x v="2"/>
    <n v="325"/>
    <n v="438"/>
    <x v="211"/>
    <n v="189"/>
    <n v="61425"/>
    <n v="80925"/>
  </r>
  <r>
    <n v="213"/>
    <x v="33"/>
    <x v="1"/>
    <x v="13"/>
    <x v="1"/>
    <x v="3"/>
    <x v="2"/>
    <n v="418"/>
    <n v="491"/>
    <x v="212"/>
    <n v="430"/>
    <n v="179740"/>
    <n v="25498"/>
  </r>
  <r>
    <n v="214"/>
    <x v="76"/>
    <x v="1"/>
    <x v="1"/>
    <x v="3"/>
    <x v="5"/>
    <x v="2"/>
    <n v="468"/>
    <n v="2945"/>
    <x v="213"/>
    <n v="1994"/>
    <n v="933192"/>
    <n v="445068"/>
  </r>
  <r>
    <n v="215"/>
    <x v="158"/>
    <x v="0"/>
    <x v="0"/>
    <x v="1"/>
    <x v="3"/>
    <x v="0"/>
    <n v="171"/>
    <n v="4748"/>
    <x v="214"/>
    <n v="4489"/>
    <n v="767619"/>
    <n v="44289"/>
  </r>
  <r>
    <n v="216"/>
    <x v="159"/>
    <x v="3"/>
    <x v="12"/>
    <x v="1"/>
    <x v="1"/>
    <x v="1"/>
    <n v="153"/>
    <n v="455"/>
    <x v="215"/>
    <n v="273"/>
    <n v="41769"/>
    <n v="27846"/>
  </r>
  <r>
    <n v="217"/>
    <x v="160"/>
    <x v="0"/>
    <x v="10"/>
    <x v="2"/>
    <x v="2"/>
    <x v="0"/>
    <n v="452"/>
    <n v="2725"/>
    <x v="216"/>
    <n v="1388"/>
    <n v="627376"/>
    <n v="604324"/>
  </r>
  <r>
    <n v="218"/>
    <x v="161"/>
    <x v="3"/>
    <x v="8"/>
    <x v="2"/>
    <x v="2"/>
    <x v="2"/>
    <n v="200"/>
    <n v="3902"/>
    <x v="217"/>
    <n v="3497"/>
    <n v="699400"/>
    <n v="81000"/>
  </r>
  <r>
    <n v="219"/>
    <x v="162"/>
    <x v="2"/>
    <x v="5"/>
    <x v="1"/>
    <x v="9"/>
    <x v="1"/>
    <n v="411"/>
    <n v="506"/>
    <x v="218"/>
    <n v="203"/>
    <n v="83433"/>
    <n v="124533"/>
  </r>
  <r>
    <n v="220"/>
    <x v="163"/>
    <x v="3"/>
    <x v="4"/>
    <x v="0"/>
    <x v="4"/>
    <x v="0"/>
    <n v="107"/>
    <n v="2986"/>
    <x v="219"/>
    <n v="2080"/>
    <n v="222560"/>
    <n v="96942"/>
  </r>
  <r>
    <n v="221"/>
    <x v="164"/>
    <x v="2"/>
    <x v="3"/>
    <x v="3"/>
    <x v="7"/>
    <x v="0"/>
    <n v="77"/>
    <n v="1880"/>
    <x v="220"/>
    <n v="1583"/>
    <n v="121891"/>
    <n v="22869"/>
  </r>
  <r>
    <n v="222"/>
    <x v="160"/>
    <x v="3"/>
    <x v="4"/>
    <x v="2"/>
    <x v="6"/>
    <x v="0"/>
    <n v="12"/>
    <n v="2747"/>
    <x v="221"/>
    <n v="280"/>
    <n v="3360"/>
    <n v="29604"/>
  </r>
  <r>
    <n v="223"/>
    <x v="165"/>
    <x v="3"/>
    <x v="8"/>
    <x v="2"/>
    <x v="2"/>
    <x v="1"/>
    <n v="402"/>
    <n v="2759"/>
    <x v="222"/>
    <n v="192"/>
    <n v="77184"/>
    <n v="1031934"/>
  </r>
  <r>
    <n v="224"/>
    <x v="13"/>
    <x v="2"/>
    <x v="5"/>
    <x v="1"/>
    <x v="9"/>
    <x v="1"/>
    <n v="151"/>
    <n v="4560"/>
    <x v="223"/>
    <n v="2714"/>
    <n v="409814"/>
    <n v="278746"/>
  </r>
  <r>
    <n v="225"/>
    <x v="154"/>
    <x v="0"/>
    <x v="0"/>
    <x v="1"/>
    <x v="9"/>
    <x v="1"/>
    <n v="68"/>
    <n v="324"/>
    <x v="224"/>
    <n v="259"/>
    <n v="17612"/>
    <n v="4420"/>
  </r>
  <r>
    <n v="226"/>
    <x v="134"/>
    <x v="3"/>
    <x v="12"/>
    <x v="1"/>
    <x v="3"/>
    <x v="2"/>
    <n v="82"/>
    <n v="2520"/>
    <x v="225"/>
    <n v="2451"/>
    <n v="200982"/>
    <n v="5658"/>
  </r>
  <r>
    <n v="227"/>
    <x v="64"/>
    <x v="1"/>
    <x v="6"/>
    <x v="0"/>
    <x v="4"/>
    <x v="0"/>
    <n v="286"/>
    <n v="3834"/>
    <x v="226"/>
    <n v="307"/>
    <n v="87802"/>
    <n v="1008722"/>
  </r>
  <r>
    <n v="228"/>
    <x v="12"/>
    <x v="1"/>
    <x v="14"/>
    <x v="2"/>
    <x v="6"/>
    <x v="1"/>
    <n v="206"/>
    <n v="640"/>
    <x v="227"/>
    <n v="144"/>
    <n v="29664"/>
    <n v="102176"/>
  </r>
  <r>
    <n v="229"/>
    <x v="166"/>
    <x v="0"/>
    <x v="9"/>
    <x v="3"/>
    <x v="5"/>
    <x v="0"/>
    <n v="332"/>
    <n v="3852"/>
    <x v="228"/>
    <n v="2624"/>
    <n v="871168"/>
    <n v="407696"/>
  </r>
  <r>
    <n v="230"/>
    <x v="167"/>
    <x v="2"/>
    <x v="3"/>
    <x v="1"/>
    <x v="9"/>
    <x v="0"/>
    <n v="424"/>
    <n v="4570"/>
    <x v="229"/>
    <n v="743"/>
    <n v="315032"/>
    <n v="1622648"/>
  </r>
  <r>
    <n v="231"/>
    <x v="168"/>
    <x v="0"/>
    <x v="10"/>
    <x v="0"/>
    <x v="11"/>
    <x v="2"/>
    <n v="243"/>
    <n v="2742"/>
    <x v="230"/>
    <n v="2006"/>
    <n v="487458"/>
    <n v="178848"/>
  </r>
  <r>
    <n v="232"/>
    <x v="169"/>
    <x v="0"/>
    <x v="10"/>
    <x v="3"/>
    <x v="7"/>
    <x v="0"/>
    <n v="477"/>
    <n v="3177"/>
    <x v="231"/>
    <n v="1705"/>
    <n v="813285"/>
    <n v="702144"/>
  </r>
  <r>
    <n v="233"/>
    <x v="170"/>
    <x v="1"/>
    <x v="13"/>
    <x v="1"/>
    <x v="1"/>
    <x v="2"/>
    <n v="43"/>
    <n v="4093"/>
    <x v="232"/>
    <n v="562"/>
    <n v="24166"/>
    <n v="151833"/>
  </r>
  <r>
    <n v="234"/>
    <x v="171"/>
    <x v="2"/>
    <x v="11"/>
    <x v="2"/>
    <x v="2"/>
    <x v="2"/>
    <n v="319"/>
    <n v="4907"/>
    <x v="233"/>
    <n v="1143"/>
    <n v="364617"/>
    <n v="1200716"/>
  </r>
  <r>
    <n v="235"/>
    <x v="172"/>
    <x v="3"/>
    <x v="4"/>
    <x v="0"/>
    <x v="4"/>
    <x v="0"/>
    <n v="46"/>
    <n v="2674"/>
    <x v="234"/>
    <n v="2282"/>
    <n v="104972"/>
    <n v="18032"/>
  </r>
  <r>
    <n v="236"/>
    <x v="173"/>
    <x v="0"/>
    <x v="9"/>
    <x v="2"/>
    <x v="2"/>
    <x v="0"/>
    <n v="290"/>
    <n v="1502"/>
    <x v="235"/>
    <n v="1087"/>
    <n v="315230"/>
    <n v="120350"/>
  </r>
  <r>
    <n v="237"/>
    <x v="174"/>
    <x v="0"/>
    <x v="0"/>
    <x v="1"/>
    <x v="9"/>
    <x v="0"/>
    <n v="230"/>
    <n v="3766"/>
    <x v="236"/>
    <n v="2423"/>
    <n v="557290"/>
    <n v="308890"/>
  </r>
  <r>
    <n v="238"/>
    <x v="42"/>
    <x v="2"/>
    <x v="5"/>
    <x v="3"/>
    <x v="5"/>
    <x v="0"/>
    <n v="388"/>
    <n v="4903"/>
    <x v="237"/>
    <n v="4086"/>
    <n v="1585368"/>
    <n v="316996"/>
  </r>
  <r>
    <n v="239"/>
    <x v="175"/>
    <x v="3"/>
    <x v="4"/>
    <x v="1"/>
    <x v="3"/>
    <x v="1"/>
    <n v="100"/>
    <n v="2723"/>
    <x v="238"/>
    <n v="1762"/>
    <n v="176200"/>
    <n v="96100"/>
  </r>
  <r>
    <n v="240"/>
    <x v="36"/>
    <x v="3"/>
    <x v="7"/>
    <x v="2"/>
    <x v="10"/>
    <x v="2"/>
    <n v="348"/>
    <n v="703"/>
    <x v="239"/>
    <n v="192"/>
    <n v="66816"/>
    <n v="177828"/>
  </r>
  <r>
    <n v="241"/>
    <x v="159"/>
    <x v="1"/>
    <x v="6"/>
    <x v="0"/>
    <x v="0"/>
    <x v="0"/>
    <n v="241"/>
    <n v="4552"/>
    <x v="240"/>
    <n v="2487"/>
    <n v="599367"/>
    <n v="497665"/>
  </r>
  <r>
    <n v="242"/>
    <x v="21"/>
    <x v="0"/>
    <x v="9"/>
    <x v="3"/>
    <x v="7"/>
    <x v="0"/>
    <n v="163"/>
    <n v="4871"/>
    <x v="241"/>
    <n v="2594"/>
    <n v="422822"/>
    <n v="371151"/>
  </r>
  <r>
    <n v="243"/>
    <x v="139"/>
    <x v="0"/>
    <x v="2"/>
    <x v="0"/>
    <x v="11"/>
    <x v="1"/>
    <n v="271"/>
    <n v="3511"/>
    <x v="242"/>
    <n v="622"/>
    <n v="168562"/>
    <n v="782919"/>
  </r>
  <r>
    <n v="244"/>
    <x v="69"/>
    <x v="2"/>
    <x v="15"/>
    <x v="1"/>
    <x v="3"/>
    <x v="1"/>
    <n v="370"/>
    <n v="4787"/>
    <x v="243"/>
    <n v="3042"/>
    <n v="1125540"/>
    <n v="645650"/>
  </r>
  <r>
    <n v="245"/>
    <x v="28"/>
    <x v="3"/>
    <x v="8"/>
    <x v="0"/>
    <x v="0"/>
    <x v="2"/>
    <n v="312"/>
    <n v="3429"/>
    <x v="244"/>
    <n v="2660"/>
    <n v="829920"/>
    <n v="239928"/>
  </r>
  <r>
    <n v="246"/>
    <x v="176"/>
    <x v="2"/>
    <x v="11"/>
    <x v="2"/>
    <x v="10"/>
    <x v="2"/>
    <n v="118"/>
    <n v="1620"/>
    <x v="245"/>
    <n v="1072"/>
    <n v="126496"/>
    <n v="64664"/>
  </r>
  <r>
    <n v="247"/>
    <x v="163"/>
    <x v="1"/>
    <x v="6"/>
    <x v="2"/>
    <x v="10"/>
    <x v="2"/>
    <n v="157"/>
    <n v="1228"/>
    <x v="246"/>
    <n v="375"/>
    <n v="58875"/>
    <n v="133921"/>
  </r>
  <r>
    <n v="248"/>
    <x v="177"/>
    <x v="3"/>
    <x v="7"/>
    <x v="0"/>
    <x v="0"/>
    <x v="0"/>
    <n v="346"/>
    <n v="3777"/>
    <x v="247"/>
    <n v="656"/>
    <n v="226976"/>
    <n v="1079866"/>
  </r>
  <r>
    <n v="249"/>
    <x v="178"/>
    <x v="3"/>
    <x v="12"/>
    <x v="2"/>
    <x v="10"/>
    <x v="0"/>
    <n v="486"/>
    <n v="3687"/>
    <x v="248"/>
    <n v="2652"/>
    <n v="1288872"/>
    <n v="503010"/>
  </r>
  <r>
    <n v="250"/>
    <x v="179"/>
    <x v="1"/>
    <x v="1"/>
    <x v="2"/>
    <x v="6"/>
    <x v="2"/>
    <n v="191"/>
    <n v="2049"/>
    <x v="249"/>
    <n v="480"/>
    <n v="91680"/>
    <n v="299679"/>
  </r>
  <r>
    <n v="251"/>
    <x v="180"/>
    <x v="0"/>
    <x v="0"/>
    <x v="2"/>
    <x v="6"/>
    <x v="1"/>
    <n v="266"/>
    <n v="2405"/>
    <x v="250"/>
    <n v="1782"/>
    <n v="474012"/>
    <n v="165718"/>
  </r>
  <r>
    <n v="252"/>
    <x v="181"/>
    <x v="2"/>
    <x v="15"/>
    <x v="0"/>
    <x v="11"/>
    <x v="2"/>
    <n v="198"/>
    <n v="1127"/>
    <x v="251"/>
    <n v="694"/>
    <n v="137412"/>
    <n v="85734"/>
  </r>
  <r>
    <n v="253"/>
    <x v="114"/>
    <x v="0"/>
    <x v="0"/>
    <x v="3"/>
    <x v="5"/>
    <x v="0"/>
    <n v="449"/>
    <n v="2489"/>
    <x v="252"/>
    <n v="2004"/>
    <n v="899796"/>
    <n v="217765"/>
  </r>
  <r>
    <n v="254"/>
    <x v="45"/>
    <x v="3"/>
    <x v="7"/>
    <x v="3"/>
    <x v="8"/>
    <x v="0"/>
    <n v="352"/>
    <n v="839"/>
    <x v="253"/>
    <n v="748"/>
    <n v="263296"/>
    <n v="32032"/>
  </r>
  <r>
    <n v="255"/>
    <x v="182"/>
    <x v="2"/>
    <x v="15"/>
    <x v="1"/>
    <x v="3"/>
    <x v="1"/>
    <n v="242"/>
    <n v="4399"/>
    <x v="254"/>
    <n v="3943"/>
    <n v="954206"/>
    <n v="110352"/>
  </r>
  <r>
    <n v="256"/>
    <x v="183"/>
    <x v="2"/>
    <x v="11"/>
    <x v="1"/>
    <x v="1"/>
    <x v="2"/>
    <n v="28"/>
    <n v="2690"/>
    <x v="255"/>
    <n v="2408"/>
    <n v="67424"/>
    <n v="7896"/>
  </r>
  <r>
    <n v="257"/>
    <x v="53"/>
    <x v="2"/>
    <x v="15"/>
    <x v="2"/>
    <x v="6"/>
    <x v="1"/>
    <n v="36"/>
    <n v="2590"/>
    <x v="256"/>
    <n v="211"/>
    <n v="7596"/>
    <n v="85644"/>
  </r>
  <r>
    <n v="258"/>
    <x v="42"/>
    <x v="2"/>
    <x v="11"/>
    <x v="0"/>
    <x v="0"/>
    <x v="0"/>
    <n v="445"/>
    <n v="2476"/>
    <x v="257"/>
    <n v="1132"/>
    <n v="503740"/>
    <n v="598080"/>
  </r>
  <r>
    <n v="259"/>
    <x v="148"/>
    <x v="1"/>
    <x v="13"/>
    <x v="1"/>
    <x v="1"/>
    <x v="1"/>
    <n v="319"/>
    <n v="1630"/>
    <x v="258"/>
    <n v="1311"/>
    <n v="418209"/>
    <n v="101761"/>
  </r>
  <r>
    <n v="260"/>
    <x v="184"/>
    <x v="1"/>
    <x v="1"/>
    <x v="1"/>
    <x v="9"/>
    <x v="2"/>
    <n v="130"/>
    <n v="4172"/>
    <x v="259"/>
    <n v="840"/>
    <n v="109200"/>
    <n v="433160"/>
  </r>
  <r>
    <n v="261"/>
    <x v="163"/>
    <x v="3"/>
    <x v="8"/>
    <x v="0"/>
    <x v="0"/>
    <x v="0"/>
    <n v="438"/>
    <n v="4262"/>
    <x v="260"/>
    <n v="3482"/>
    <n v="1525116"/>
    <n v="341640"/>
  </r>
  <r>
    <n v="262"/>
    <x v="183"/>
    <x v="0"/>
    <x v="10"/>
    <x v="2"/>
    <x v="6"/>
    <x v="0"/>
    <n v="117"/>
    <n v="4932"/>
    <x v="261"/>
    <n v="2926"/>
    <n v="342342"/>
    <n v="234702"/>
  </r>
  <r>
    <n v="263"/>
    <x v="104"/>
    <x v="3"/>
    <x v="8"/>
    <x v="0"/>
    <x v="0"/>
    <x v="1"/>
    <n v="214"/>
    <n v="4101"/>
    <x v="262"/>
    <n v="1334"/>
    <n v="285476"/>
    <n v="592138"/>
  </r>
  <r>
    <n v="264"/>
    <x v="185"/>
    <x v="0"/>
    <x v="10"/>
    <x v="2"/>
    <x v="6"/>
    <x v="0"/>
    <n v="252"/>
    <n v="2351"/>
    <x v="263"/>
    <n v="694"/>
    <n v="174888"/>
    <n v="417564"/>
  </r>
  <r>
    <n v="265"/>
    <x v="158"/>
    <x v="0"/>
    <x v="0"/>
    <x v="1"/>
    <x v="1"/>
    <x v="2"/>
    <n v="171"/>
    <n v="4543"/>
    <x v="264"/>
    <n v="436"/>
    <n v="74556"/>
    <n v="702297"/>
  </r>
  <r>
    <n v="266"/>
    <x v="186"/>
    <x v="3"/>
    <x v="8"/>
    <x v="2"/>
    <x v="6"/>
    <x v="0"/>
    <n v="181"/>
    <n v="2414"/>
    <x v="265"/>
    <n v="1193"/>
    <n v="215933"/>
    <n v="221001"/>
  </r>
  <r>
    <n v="267"/>
    <x v="187"/>
    <x v="3"/>
    <x v="8"/>
    <x v="2"/>
    <x v="10"/>
    <x v="0"/>
    <n v="385"/>
    <n v="1796"/>
    <x v="266"/>
    <n v="1164"/>
    <n v="448140"/>
    <n v="243320"/>
  </r>
  <r>
    <n v="268"/>
    <x v="188"/>
    <x v="2"/>
    <x v="5"/>
    <x v="1"/>
    <x v="3"/>
    <x v="1"/>
    <n v="14"/>
    <n v="756"/>
    <x v="267"/>
    <n v="112"/>
    <n v="1568"/>
    <n v="9016"/>
  </r>
  <r>
    <n v="269"/>
    <x v="189"/>
    <x v="0"/>
    <x v="0"/>
    <x v="0"/>
    <x v="11"/>
    <x v="2"/>
    <n v="122"/>
    <n v="2520"/>
    <x v="268"/>
    <n v="1131"/>
    <n v="137982"/>
    <n v="169458"/>
  </r>
  <r>
    <n v="270"/>
    <x v="115"/>
    <x v="1"/>
    <x v="14"/>
    <x v="0"/>
    <x v="11"/>
    <x v="1"/>
    <n v="490"/>
    <n v="1976"/>
    <x v="269"/>
    <n v="1327"/>
    <n v="650230"/>
    <n v="318010"/>
  </r>
  <r>
    <n v="271"/>
    <x v="190"/>
    <x v="3"/>
    <x v="7"/>
    <x v="0"/>
    <x v="11"/>
    <x v="1"/>
    <n v="346"/>
    <n v="4837"/>
    <x v="270"/>
    <n v="1613"/>
    <n v="558098"/>
    <n v="1115504"/>
  </r>
  <r>
    <n v="272"/>
    <x v="191"/>
    <x v="3"/>
    <x v="12"/>
    <x v="1"/>
    <x v="1"/>
    <x v="2"/>
    <n v="489"/>
    <n v="820"/>
    <x v="271"/>
    <n v="754"/>
    <n v="368706"/>
    <n v="32274"/>
  </r>
  <r>
    <n v="273"/>
    <x v="20"/>
    <x v="0"/>
    <x v="2"/>
    <x v="2"/>
    <x v="6"/>
    <x v="0"/>
    <n v="141"/>
    <n v="1526"/>
    <x v="272"/>
    <n v="251"/>
    <n v="35391"/>
    <n v="179775"/>
  </r>
  <r>
    <n v="274"/>
    <x v="192"/>
    <x v="2"/>
    <x v="15"/>
    <x v="2"/>
    <x v="10"/>
    <x v="2"/>
    <n v="142"/>
    <n v="2368"/>
    <x v="273"/>
    <n v="828"/>
    <n v="117576"/>
    <n v="218680"/>
  </r>
  <r>
    <n v="275"/>
    <x v="82"/>
    <x v="0"/>
    <x v="0"/>
    <x v="2"/>
    <x v="2"/>
    <x v="0"/>
    <n v="101"/>
    <n v="4230"/>
    <x v="274"/>
    <n v="544"/>
    <n v="54944"/>
    <n v="372286"/>
  </r>
  <r>
    <n v="276"/>
    <x v="12"/>
    <x v="1"/>
    <x v="1"/>
    <x v="3"/>
    <x v="5"/>
    <x v="0"/>
    <n v="477"/>
    <n v="3817"/>
    <x v="275"/>
    <n v="3030"/>
    <n v="1445310"/>
    <n v="375399"/>
  </r>
  <r>
    <n v="277"/>
    <x v="121"/>
    <x v="2"/>
    <x v="15"/>
    <x v="0"/>
    <x v="0"/>
    <x v="1"/>
    <n v="382"/>
    <n v="2252"/>
    <x v="276"/>
    <n v="1926"/>
    <n v="735732"/>
    <n v="124532"/>
  </r>
  <r>
    <n v="278"/>
    <x v="69"/>
    <x v="3"/>
    <x v="4"/>
    <x v="3"/>
    <x v="5"/>
    <x v="0"/>
    <n v="487"/>
    <n v="509"/>
    <x v="277"/>
    <n v="440"/>
    <n v="214280"/>
    <n v="33603"/>
  </r>
  <r>
    <n v="279"/>
    <x v="193"/>
    <x v="0"/>
    <x v="2"/>
    <x v="3"/>
    <x v="5"/>
    <x v="2"/>
    <n v="304"/>
    <n v="230"/>
    <x v="278"/>
    <n v="165"/>
    <n v="50160"/>
    <n v="19760"/>
  </r>
  <r>
    <n v="280"/>
    <x v="57"/>
    <x v="0"/>
    <x v="9"/>
    <x v="2"/>
    <x v="10"/>
    <x v="0"/>
    <n v="286"/>
    <n v="2050"/>
    <x v="279"/>
    <n v="106"/>
    <n v="30316"/>
    <n v="555984"/>
  </r>
  <r>
    <n v="281"/>
    <x v="14"/>
    <x v="0"/>
    <x v="9"/>
    <x v="0"/>
    <x v="11"/>
    <x v="0"/>
    <n v="180"/>
    <n v="2680"/>
    <x v="280"/>
    <n v="1740"/>
    <n v="313200"/>
    <n v="169200"/>
  </r>
  <r>
    <n v="282"/>
    <x v="194"/>
    <x v="3"/>
    <x v="7"/>
    <x v="1"/>
    <x v="3"/>
    <x v="2"/>
    <n v="440"/>
    <n v="3965"/>
    <x v="281"/>
    <n v="3214"/>
    <n v="1414160"/>
    <n v="330440"/>
  </r>
  <r>
    <n v="283"/>
    <x v="179"/>
    <x v="2"/>
    <x v="5"/>
    <x v="3"/>
    <x v="5"/>
    <x v="1"/>
    <n v="348"/>
    <n v="1764"/>
    <x v="282"/>
    <n v="712"/>
    <n v="247776"/>
    <n v="366096"/>
  </r>
  <r>
    <n v="284"/>
    <x v="195"/>
    <x v="0"/>
    <x v="0"/>
    <x v="1"/>
    <x v="1"/>
    <x v="1"/>
    <n v="234"/>
    <n v="1752"/>
    <x v="283"/>
    <n v="386"/>
    <n v="90324"/>
    <n v="319644"/>
  </r>
  <r>
    <n v="285"/>
    <x v="196"/>
    <x v="3"/>
    <x v="12"/>
    <x v="0"/>
    <x v="11"/>
    <x v="0"/>
    <n v="260"/>
    <n v="3384"/>
    <x v="284"/>
    <n v="358"/>
    <n v="93080"/>
    <n v="786760"/>
  </r>
  <r>
    <n v="286"/>
    <x v="64"/>
    <x v="2"/>
    <x v="11"/>
    <x v="2"/>
    <x v="2"/>
    <x v="1"/>
    <n v="38"/>
    <n v="2966"/>
    <x v="285"/>
    <n v="275"/>
    <n v="10450"/>
    <n v="102258"/>
  </r>
  <r>
    <n v="287"/>
    <x v="197"/>
    <x v="0"/>
    <x v="0"/>
    <x v="3"/>
    <x v="5"/>
    <x v="0"/>
    <n v="244"/>
    <n v="4595"/>
    <x v="286"/>
    <n v="1320"/>
    <n v="322080"/>
    <n v="799100"/>
  </r>
  <r>
    <n v="288"/>
    <x v="144"/>
    <x v="1"/>
    <x v="14"/>
    <x v="0"/>
    <x v="11"/>
    <x v="1"/>
    <n v="344"/>
    <n v="356"/>
    <x v="287"/>
    <n v="220"/>
    <n v="75680"/>
    <n v="46784"/>
  </r>
  <r>
    <n v="289"/>
    <x v="195"/>
    <x v="3"/>
    <x v="12"/>
    <x v="3"/>
    <x v="7"/>
    <x v="1"/>
    <n v="35"/>
    <n v="2717"/>
    <x v="288"/>
    <n v="498"/>
    <n v="17430"/>
    <n v="77665"/>
  </r>
  <r>
    <n v="290"/>
    <x v="198"/>
    <x v="0"/>
    <x v="10"/>
    <x v="0"/>
    <x v="0"/>
    <x v="1"/>
    <n v="314"/>
    <n v="2006"/>
    <x v="289"/>
    <n v="229"/>
    <n v="71906"/>
    <n v="557978"/>
  </r>
  <r>
    <n v="291"/>
    <x v="199"/>
    <x v="1"/>
    <x v="1"/>
    <x v="1"/>
    <x v="3"/>
    <x v="0"/>
    <n v="176"/>
    <n v="1189"/>
    <x v="290"/>
    <n v="381"/>
    <n v="67056"/>
    <n v="142208"/>
  </r>
  <r>
    <n v="292"/>
    <x v="123"/>
    <x v="2"/>
    <x v="5"/>
    <x v="0"/>
    <x v="11"/>
    <x v="1"/>
    <n v="42"/>
    <n v="1189"/>
    <x v="291"/>
    <n v="660"/>
    <n v="27720"/>
    <n v="22218"/>
  </r>
  <r>
    <n v="293"/>
    <x v="200"/>
    <x v="1"/>
    <x v="1"/>
    <x v="3"/>
    <x v="5"/>
    <x v="2"/>
    <n v="94"/>
    <n v="3793"/>
    <x v="292"/>
    <n v="1097"/>
    <n v="103118"/>
    <n v="253424"/>
  </r>
  <r>
    <n v="294"/>
    <x v="190"/>
    <x v="3"/>
    <x v="12"/>
    <x v="0"/>
    <x v="11"/>
    <x v="0"/>
    <n v="408"/>
    <n v="1492"/>
    <x v="293"/>
    <n v="132"/>
    <n v="53856"/>
    <n v="554880"/>
  </r>
  <r>
    <n v="295"/>
    <x v="128"/>
    <x v="0"/>
    <x v="0"/>
    <x v="0"/>
    <x v="0"/>
    <x v="1"/>
    <n v="371"/>
    <n v="2524"/>
    <x v="294"/>
    <n v="1804"/>
    <n v="669284"/>
    <n v="267120"/>
  </r>
  <r>
    <n v="296"/>
    <x v="134"/>
    <x v="0"/>
    <x v="10"/>
    <x v="3"/>
    <x v="7"/>
    <x v="0"/>
    <n v="277"/>
    <n v="3889"/>
    <x v="295"/>
    <n v="1787"/>
    <n v="494999"/>
    <n v="582254"/>
  </r>
  <r>
    <n v="297"/>
    <x v="84"/>
    <x v="1"/>
    <x v="6"/>
    <x v="0"/>
    <x v="11"/>
    <x v="1"/>
    <n v="323"/>
    <n v="921"/>
    <x v="296"/>
    <n v="742"/>
    <n v="239666"/>
    <n v="57817"/>
  </r>
  <r>
    <n v="298"/>
    <x v="201"/>
    <x v="2"/>
    <x v="3"/>
    <x v="2"/>
    <x v="2"/>
    <x v="0"/>
    <n v="108"/>
    <n v="1162"/>
    <x v="297"/>
    <n v="1110"/>
    <n v="119880"/>
    <n v="5616"/>
  </r>
  <r>
    <n v="299"/>
    <x v="2"/>
    <x v="3"/>
    <x v="8"/>
    <x v="3"/>
    <x v="8"/>
    <x v="0"/>
    <n v="116"/>
    <n v="2464"/>
    <x v="298"/>
    <n v="317"/>
    <n v="36772"/>
    <n v="249052"/>
  </r>
  <r>
    <n v="300"/>
    <x v="198"/>
    <x v="1"/>
    <x v="14"/>
    <x v="3"/>
    <x v="5"/>
    <x v="2"/>
    <n v="100"/>
    <n v="1508"/>
    <x v="299"/>
    <n v="188"/>
    <n v="18800"/>
    <n v="132000"/>
  </r>
  <r>
    <n v="301"/>
    <x v="202"/>
    <x v="3"/>
    <x v="8"/>
    <x v="1"/>
    <x v="9"/>
    <x v="2"/>
    <n v="181"/>
    <n v="3912"/>
    <x v="300"/>
    <n v="277"/>
    <n v="50137"/>
    <n v="657935"/>
  </r>
  <r>
    <n v="302"/>
    <x v="203"/>
    <x v="3"/>
    <x v="7"/>
    <x v="3"/>
    <x v="7"/>
    <x v="1"/>
    <n v="273"/>
    <n v="1150"/>
    <x v="301"/>
    <n v="172"/>
    <n v="46956"/>
    <n v="266994"/>
  </r>
  <r>
    <n v="303"/>
    <x v="164"/>
    <x v="1"/>
    <x v="1"/>
    <x v="1"/>
    <x v="1"/>
    <x v="1"/>
    <n v="469"/>
    <n v="2868"/>
    <x v="302"/>
    <n v="1042"/>
    <n v="488698"/>
    <n v="856394"/>
  </r>
  <r>
    <n v="304"/>
    <x v="143"/>
    <x v="3"/>
    <x v="8"/>
    <x v="3"/>
    <x v="7"/>
    <x v="1"/>
    <n v="455"/>
    <n v="1838"/>
    <x v="303"/>
    <n v="869"/>
    <n v="395395"/>
    <n v="440895"/>
  </r>
  <r>
    <n v="305"/>
    <x v="147"/>
    <x v="1"/>
    <x v="14"/>
    <x v="2"/>
    <x v="6"/>
    <x v="2"/>
    <n v="465"/>
    <n v="3770"/>
    <x v="304"/>
    <n v="693"/>
    <n v="322245"/>
    <n v="1430805"/>
  </r>
  <r>
    <n v="306"/>
    <x v="126"/>
    <x v="1"/>
    <x v="1"/>
    <x v="3"/>
    <x v="8"/>
    <x v="2"/>
    <n v="244"/>
    <n v="1790"/>
    <x v="305"/>
    <n v="1394"/>
    <n v="340136"/>
    <n v="96624"/>
  </r>
  <r>
    <n v="307"/>
    <x v="204"/>
    <x v="2"/>
    <x v="3"/>
    <x v="3"/>
    <x v="8"/>
    <x v="1"/>
    <n v="364"/>
    <n v="4858"/>
    <x v="306"/>
    <n v="588"/>
    <n v="214032"/>
    <n v="1554280"/>
  </r>
  <r>
    <n v="308"/>
    <x v="8"/>
    <x v="2"/>
    <x v="5"/>
    <x v="0"/>
    <x v="4"/>
    <x v="2"/>
    <n v="97"/>
    <n v="3014"/>
    <x v="307"/>
    <n v="1000"/>
    <n v="97000"/>
    <n v="195358"/>
  </r>
  <r>
    <n v="309"/>
    <x v="79"/>
    <x v="2"/>
    <x v="5"/>
    <x v="3"/>
    <x v="5"/>
    <x v="0"/>
    <n v="54"/>
    <n v="3572"/>
    <x v="308"/>
    <n v="2237"/>
    <n v="120798"/>
    <n v="72090"/>
  </r>
  <r>
    <n v="310"/>
    <x v="205"/>
    <x v="0"/>
    <x v="10"/>
    <x v="2"/>
    <x v="10"/>
    <x v="2"/>
    <n v="383"/>
    <n v="3707"/>
    <x v="309"/>
    <n v="3115"/>
    <n v="1193045"/>
    <n v="226736"/>
  </r>
  <r>
    <n v="311"/>
    <x v="206"/>
    <x v="1"/>
    <x v="6"/>
    <x v="1"/>
    <x v="1"/>
    <x v="0"/>
    <n v="466"/>
    <n v="1420"/>
    <x v="310"/>
    <n v="1274"/>
    <n v="593684"/>
    <n v="68036"/>
  </r>
  <r>
    <n v="312"/>
    <x v="6"/>
    <x v="3"/>
    <x v="4"/>
    <x v="0"/>
    <x v="0"/>
    <x v="2"/>
    <n v="27"/>
    <n v="3687"/>
    <x v="311"/>
    <n v="2275"/>
    <n v="61425"/>
    <n v="38124"/>
  </r>
  <r>
    <n v="313"/>
    <x v="187"/>
    <x v="0"/>
    <x v="9"/>
    <x v="0"/>
    <x v="4"/>
    <x v="2"/>
    <n v="52"/>
    <n v="4775"/>
    <x v="312"/>
    <n v="201"/>
    <n v="10452"/>
    <n v="237848"/>
  </r>
  <r>
    <n v="314"/>
    <x v="196"/>
    <x v="0"/>
    <x v="10"/>
    <x v="3"/>
    <x v="8"/>
    <x v="2"/>
    <n v="341"/>
    <n v="943"/>
    <x v="313"/>
    <n v="116"/>
    <n v="39556"/>
    <n v="282007"/>
  </r>
  <r>
    <n v="315"/>
    <x v="121"/>
    <x v="0"/>
    <x v="2"/>
    <x v="3"/>
    <x v="5"/>
    <x v="2"/>
    <n v="392"/>
    <n v="4981"/>
    <x v="314"/>
    <n v="299"/>
    <n v="117208"/>
    <n v="1835344"/>
  </r>
  <r>
    <n v="316"/>
    <x v="142"/>
    <x v="0"/>
    <x v="9"/>
    <x v="3"/>
    <x v="5"/>
    <x v="2"/>
    <n v="414"/>
    <n v="3234"/>
    <x v="315"/>
    <n v="2667"/>
    <n v="1104138"/>
    <n v="234738"/>
  </r>
  <r>
    <n v="317"/>
    <x v="207"/>
    <x v="0"/>
    <x v="0"/>
    <x v="0"/>
    <x v="4"/>
    <x v="0"/>
    <n v="281"/>
    <n v="467"/>
    <x v="316"/>
    <n v="251"/>
    <n v="70531"/>
    <n v="60696"/>
  </r>
  <r>
    <n v="318"/>
    <x v="208"/>
    <x v="0"/>
    <x v="2"/>
    <x v="3"/>
    <x v="5"/>
    <x v="1"/>
    <n v="460"/>
    <n v="2950"/>
    <x v="317"/>
    <n v="324"/>
    <n v="149040"/>
    <n v="1207960"/>
  </r>
  <r>
    <n v="319"/>
    <x v="209"/>
    <x v="2"/>
    <x v="15"/>
    <x v="0"/>
    <x v="4"/>
    <x v="2"/>
    <n v="326"/>
    <n v="534"/>
    <x v="318"/>
    <n v="287"/>
    <n v="93562"/>
    <n v="80522"/>
  </r>
  <r>
    <n v="320"/>
    <x v="210"/>
    <x v="2"/>
    <x v="5"/>
    <x v="0"/>
    <x v="11"/>
    <x v="0"/>
    <n v="80"/>
    <n v="2943"/>
    <x v="319"/>
    <n v="1077"/>
    <n v="86160"/>
    <n v="149280"/>
  </r>
  <r>
    <n v="321"/>
    <x v="211"/>
    <x v="3"/>
    <x v="4"/>
    <x v="3"/>
    <x v="5"/>
    <x v="1"/>
    <n v="190"/>
    <n v="2390"/>
    <x v="320"/>
    <n v="2162"/>
    <n v="410780"/>
    <n v="43320"/>
  </r>
  <r>
    <n v="322"/>
    <x v="212"/>
    <x v="0"/>
    <x v="2"/>
    <x v="0"/>
    <x v="0"/>
    <x v="2"/>
    <n v="241"/>
    <n v="4183"/>
    <x v="321"/>
    <n v="2153"/>
    <n v="518873"/>
    <n v="489230"/>
  </r>
  <r>
    <n v="323"/>
    <x v="213"/>
    <x v="3"/>
    <x v="4"/>
    <x v="1"/>
    <x v="1"/>
    <x v="0"/>
    <n v="419"/>
    <n v="737"/>
    <x v="322"/>
    <n v="292"/>
    <n v="122348"/>
    <n v="186455"/>
  </r>
  <r>
    <n v="324"/>
    <x v="15"/>
    <x v="0"/>
    <x v="0"/>
    <x v="0"/>
    <x v="4"/>
    <x v="1"/>
    <n v="500"/>
    <n v="830"/>
    <x v="323"/>
    <n v="211"/>
    <n v="105500"/>
    <n v="309500"/>
  </r>
  <r>
    <n v="325"/>
    <x v="198"/>
    <x v="1"/>
    <x v="13"/>
    <x v="0"/>
    <x v="11"/>
    <x v="1"/>
    <n v="87"/>
    <n v="1873"/>
    <x v="324"/>
    <n v="1166"/>
    <n v="101442"/>
    <n v="61509"/>
  </r>
  <r>
    <n v="326"/>
    <x v="214"/>
    <x v="3"/>
    <x v="8"/>
    <x v="2"/>
    <x v="6"/>
    <x v="0"/>
    <n v="252"/>
    <n v="3040"/>
    <x v="325"/>
    <n v="1820"/>
    <n v="458640"/>
    <n v="307440"/>
  </r>
  <r>
    <n v="327"/>
    <x v="93"/>
    <x v="0"/>
    <x v="0"/>
    <x v="1"/>
    <x v="9"/>
    <x v="1"/>
    <n v="456"/>
    <n v="2103"/>
    <x v="326"/>
    <n v="1809"/>
    <n v="824904"/>
    <n v="134064"/>
  </r>
  <r>
    <n v="328"/>
    <x v="215"/>
    <x v="2"/>
    <x v="11"/>
    <x v="1"/>
    <x v="3"/>
    <x v="0"/>
    <n v="258"/>
    <n v="4543"/>
    <x v="327"/>
    <n v="3747"/>
    <n v="966726"/>
    <n v="205368"/>
  </r>
  <r>
    <n v="329"/>
    <x v="43"/>
    <x v="0"/>
    <x v="2"/>
    <x v="3"/>
    <x v="8"/>
    <x v="1"/>
    <n v="126"/>
    <n v="4166"/>
    <x v="328"/>
    <n v="1623"/>
    <n v="204498"/>
    <n v="320418"/>
  </r>
  <r>
    <n v="330"/>
    <x v="216"/>
    <x v="2"/>
    <x v="15"/>
    <x v="3"/>
    <x v="8"/>
    <x v="2"/>
    <n v="499"/>
    <n v="1562"/>
    <x v="329"/>
    <n v="1366"/>
    <n v="681634"/>
    <n v="97804"/>
  </r>
  <r>
    <n v="331"/>
    <x v="7"/>
    <x v="1"/>
    <x v="13"/>
    <x v="3"/>
    <x v="7"/>
    <x v="0"/>
    <n v="473"/>
    <n v="1457"/>
    <x v="330"/>
    <n v="430"/>
    <n v="203390"/>
    <n v="485771"/>
  </r>
  <r>
    <n v="332"/>
    <x v="217"/>
    <x v="1"/>
    <x v="14"/>
    <x v="0"/>
    <x v="4"/>
    <x v="0"/>
    <n v="235"/>
    <n v="2333"/>
    <x v="331"/>
    <n v="1614"/>
    <n v="379290"/>
    <n v="168965"/>
  </r>
  <r>
    <n v="333"/>
    <x v="212"/>
    <x v="1"/>
    <x v="6"/>
    <x v="0"/>
    <x v="11"/>
    <x v="2"/>
    <n v="85"/>
    <n v="3254"/>
    <x v="332"/>
    <n v="1936"/>
    <n v="164560"/>
    <n v="112030"/>
  </r>
  <r>
    <n v="334"/>
    <x v="84"/>
    <x v="1"/>
    <x v="13"/>
    <x v="0"/>
    <x v="0"/>
    <x v="2"/>
    <n v="403"/>
    <n v="1390"/>
    <x v="333"/>
    <n v="1038"/>
    <n v="418314"/>
    <n v="141856"/>
  </r>
  <r>
    <n v="335"/>
    <x v="72"/>
    <x v="2"/>
    <x v="5"/>
    <x v="0"/>
    <x v="11"/>
    <x v="0"/>
    <n v="179"/>
    <n v="2621"/>
    <x v="334"/>
    <n v="2041"/>
    <n v="365339"/>
    <n v="103820"/>
  </r>
  <r>
    <n v="336"/>
    <x v="148"/>
    <x v="2"/>
    <x v="5"/>
    <x v="2"/>
    <x v="10"/>
    <x v="0"/>
    <n v="384"/>
    <n v="4123"/>
    <x v="335"/>
    <n v="3787"/>
    <n v="1454208"/>
    <n v="129024"/>
  </r>
  <r>
    <n v="337"/>
    <x v="199"/>
    <x v="3"/>
    <x v="12"/>
    <x v="0"/>
    <x v="4"/>
    <x v="1"/>
    <n v="326"/>
    <n v="2005"/>
    <x v="336"/>
    <n v="1013"/>
    <n v="330238"/>
    <n v="323392"/>
  </r>
  <r>
    <n v="338"/>
    <x v="24"/>
    <x v="2"/>
    <x v="15"/>
    <x v="1"/>
    <x v="9"/>
    <x v="0"/>
    <n v="109"/>
    <n v="4979"/>
    <x v="337"/>
    <n v="4412"/>
    <n v="480908"/>
    <n v="61803"/>
  </r>
  <r>
    <n v="339"/>
    <x v="73"/>
    <x v="1"/>
    <x v="13"/>
    <x v="3"/>
    <x v="7"/>
    <x v="1"/>
    <n v="444"/>
    <n v="3849"/>
    <x v="338"/>
    <n v="2873"/>
    <n v="1275612"/>
    <n v="433344"/>
  </r>
  <r>
    <n v="340"/>
    <x v="17"/>
    <x v="3"/>
    <x v="4"/>
    <x v="3"/>
    <x v="8"/>
    <x v="2"/>
    <n v="319"/>
    <n v="4390"/>
    <x v="339"/>
    <n v="559"/>
    <n v="178321"/>
    <n v="1222089"/>
  </r>
  <r>
    <n v="341"/>
    <x v="218"/>
    <x v="2"/>
    <x v="11"/>
    <x v="3"/>
    <x v="5"/>
    <x v="2"/>
    <n v="207"/>
    <n v="3254"/>
    <x v="340"/>
    <n v="149"/>
    <n v="30843"/>
    <n v="642735"/>
  </r>
  <r>
    <n v="342"/>
    <x v="219"/>
    <x v="2"/>
    <x v="3"/>
    <x v="1"/>
    <x v="1"/>
    <x v="2"/>
    <n v="54"/>
    <n v="1966"/>
    <x v="341"/>
    <n v="1590"/>
    <n v="85860"/>
    <n v="20304"/>
  </r>
  <r>
    <n v="343"/>
    <x v="220"/>
    <x v="0"/>
    <x v="9"/>
    <x v="2"/>
    <x v="10"/>
    <x v="1"/>
    <n v="383"/>
    <n v="3593"/>
    <x v="342"/>
    <n v="671"/>
    <n v="256993"/>
    <n v="1119126"/>
  </r>
  <r>
    <n v="344"/>
    <x v="127"/>
    <x v="3"/>
    <x v="12"/>
    <x v="3"/>
    <x v="8"/>
    <x v="2"/>
    <n v="181"/>
    <n v="741"/>
    <x v="343"/>
    <n v="484"/>
    <n v="87604"/>
    <n v="46517"/>
  </r>
  <r>
    <n v="345"/>
    <x v="221"/>
    <x v="3"/>
    <x v="7"/>
    <x v="2"/>
    <x v="6"/>
    <x v="2"/>
    <n v="99"/>
    <n v="4753"/>
    <x v="344"/>
    <n v="3885"/>
    <n v="384615"/>
    <n v="85932"/>
  </r>
  <r>
    <n v="346"/>
    <x v="200"/>
    <x v="1"/>
    <x v="6"/>
    <x v="3"/>
    <x v="8"/>
    <x v="2"/>
    <n v="261"/>
    <n v="545"/>
    <x v="345"/>
    <n v="254"/>
    <n v="66294"/>
    <n v="75951"/>
  </r>
  <r>
    <n v="347"/>
    <x v="222"/>
    <x v="2"/>
    <x v="11"/>
    <x v="2"/>
    <x v="2"/>
    <x v="1"/>
    <n v="88"/>
    <n v="2351"/>
    <x v="346"/>
    <n v="1329"/>
    <n v="116952"/>
    <n v="89936"/>
  </r>
  <r>
    <n v="348"/>
    <x v="223"/>
    <x v="0"/>
    <x v="0"/>
    <x v="1"/>
    <x v="1"/>
    <x v="1"/>
    <n v="474"/>
    <n v="2204"/>
    <x v="347"/>
    <n v="216"/>
    <n v="102384"/>
    <n v="942312"/>
  </r>
  <r>
    <n v="349"/>
    <x v="224"/>
    <x v="3"/>
    <x v="8"/>
    <x v="2"/>
    <x v="2"/>
    <x v="0"/>
    <n v="307"/>
    <n v="4136"/>
    <x v="348"/>
    <n v="2416"/>
    <n v="741712"/>
    <n v="528040"/>
  </r>
  <r>
    <n v="350"/>
    <x v="162"/>
    <x v="0"/>
    <x v="2"/>
    <x v="2"/>
    <x v="6"/>
    <x v="1"/>
    <n v="272"/>
    <n v="4912"/>
    <x v="349"/>
    <n v="243"/>
    <n v="66096"/>
    <n v="1269968"/>
  </r>
  <r>
    <n v="351"/>
    <x v="225"/>
    <x v="2"/>
    <x v="5"/>
    <x v="0"/>
    <x v="0"/>
    <x v="2"/>
    <n v="459"/>
    <n v="1309"/>
    <x v="350"/>
    <n v="831"/>
    <n v="381429"/>
    <n v="219402"/>
  </r>
  <r>
    <n v="352"/>
    <x v="226"/>
    <x v="1"/>
    <x v="14"/>
    <x v="1"/>
    <x v="1"/>
    <x v="2"/>
    <n v="476"/>
    <n v="3116"/>
    <x v="351"/>
    <n v="299"/>
    <n v="142324"/>
    <n v="1340892"/>
  </r>
  <r>
    <n v="353"/>
    <x v="227"/>
    <x v="2"/>
    <x v="3"/>
    <x v="0"/>
    <x v="11"/>
    <x v="1"/>
    <n v="103"/>
    <n v="974"/>
    <x v="352"/>
    <n v="713"/>
    <n v="73439"/>
    <n v="26883"/>
  </r>
  <r>
    <n v="354"/>
    <x v="134"/>
    <x v="1"/>
    <x v="13"/>
    <x v="1"/>
    <x v="3"/>
    <x v="2"/>
    <n v="360"/>
    <n v="3169"/>
    <x v="353"/>
    <n v="492"/>
    <n v="177120"/>
    <n v="963720"/>
  </r>
  <r>
    <n v="355"/>
    <x v="228"/>
    <x v="2"/>
    <x v="5"/>
    <x v="0"/>
    <x v="0"/>
    <x v="0"/>
    <n v="200"/>
    <n v="4172"/>
    <x v="354"/>
    <n v="1787"/>
    <n v="357400"/>
    <n v="477000"/>
  </r>
  <r>
    <n v="356"/>
    <x v="229"/>
    <x v="2"/>
    <x v="5"/>
    <x v="0"/>
    <x v="0"/>
    <x v="1"/>
    <n v="123"/>
    <n v="1743"/>
    <x v="355"/>
    <n v="1244"/>
    <n v="153012"/>
    <n v="61377"/>
  </r>
  <r>
    <n v="357"/>
    <x v="214"/>
    <x v="3"/>
    <x v="4"/>
    <x v="2"/>
    <x v="2"/>
    <x v="1"/>
    <n v="482"/>
    <n v="342"/>
    <x v="356"/>
    <n v="222"/>
    <n v="107004"/>
    <n v="57840"/>
  </r>
  <r>
    <n v="358"/>
    <x v="35"/>
    <x v="2"/>
    <x v="3"/>
    <x v="1"/>
    <x v="9"/>
    <x v="2"/>
    <n v="277"/>
    <n v="3002"/>
    <x v="357"/>
    <n v="805"/>
    <n v="222985"/>
    <n v="608569"/>
  </r>
  <r>
    <n v="359"/>
    <x v="230"/>
    <x v="2"/>
    <x v="15"/>
    <x v="0"/>
    <x v="0"/>
    <x v="1"/>
    <n v="82"/>
    <n v="2056"/>
    <x v="358"/>
    <n v="729"/>
    <n v="59778"/>
    <n v="108814"/>
  </r>
  <r>
    <n v="360"/>
    <x v="122"/>
    <x v="1"/>
    <x v="6"/>
    <x v="3"/>
    <x v="7"/>
    <x v="2"/>
    <n v="400"/>
    <n v="1115"/>
    <x v="359"/>
    <n v="179"/>
    <n v="71600"/>
    <n v="374400"/>
  </r>
  <r>
    <n v="361"/>
    <x v="5"/>
    <x v="3"/>
    <x v="4"/>
    <x v="2"/>
    <x v="2"/>
    <x v="1"/>
    <n v="26"/>
    <n v="4406"/>
    <x v="360"/>
    <n v="585"/>
    <n v="15210"/>
    <n v="99346"/>
  </r>
  <r>
    <n v="362"/>
    <x v="32"/>
    <x v="0"/>
    <x v="0"/>
    <x v="1"/>
    <x v="9"/>
    <x v="1"/>
    <n v="351"/>
    <n v="284"/>
    <x v="361"/>
    <n v="124"/>
    <n v="43524"/>
    <n v="56160"/>
  </r>
  <r>
    <n v="363"/>
    <x v="189"/>
    <x v="3"/>
    <x v="12"/>
    <x v="3"/>
    <x v="7"/>
    <x v="0"/>
    <n v="24"/>
    <n v="943"/>
    <x v="362"/>
    <n v="249"/>
    <n v="5976"/>
    <n v="16656"/>
  </r>
  <r>
    <n v="364"/>
    <x v="139"/>
    <x v="2"/>
    <x v="3"/>
    <x v="1"/>
    <x v="9"/>
    <x v="0"/>
    <n v="133"/>
    <n v="4336"/>
    <x v="363"/>
    <n v="659"/>
    <n v="87647"/>
    <n v="489041"/>
  </r>
  <r>
    <n v="365"/>
    <x v="228"/>
    <x v="3"/>
    <x v="7"/>
    <x v="3"/>
    <x v="5"/>
    <x v="1"/>
    <n v="97"/>
    <n v="4600"/>
    <x v="364"/>
    <n v="135"/>
    <n v="13095"/>
    <n v="433105"/>
  </r>
  <r>
    <n v="366"/>
    <x v="231"/>
    <x v="3"/>
    <x v="12"/>
    <x v="2"/>
    <x v="10"/>
    <x v="0"/>
    <n v="104"/>
    <n v="3801"/>
    <x v="365"/>
    <n v="2858"/>
    <n v="297232"/>
    <n v="98072"/>
  </r>
  <r>
    <n v="367"/>
    <x v="232"/>
    <x v="3"/>
    <x v="12"/>
    <x v="1"/>
    <x v="1"/>
    <x v="2"/>
    <n v="273"/>
    <n v="2064"/>
    <x v="366"/>
    <n v="934"/>
    <n v="254982"/>
    <n v="308490"/>
  </r>
  <r>
    <n v="368"/>
    <x v="165"/>
    <x v="3"/>
    <x v="8"/>
    <x v="0"/>
    <x v="4"/>
    <x v="1"/>
    <n v="79"/>
    <n v="4261"/>
    <x v="367"/>
    <n v="3059"/>
    <n v="241661"/>
    <n v="94958"/>
  </r>
  <r>
    <n v="369"/>
    <x v="160"/>
    <x v="2"/>
    <x v="15"/>
    <x v="0"/>
    <x v="4"/>
    <x v="2"/>
    <n v="207"/>
    <n v="2523"/>
    <x v="368"/>
    <n v="1971"/>
    <n v="407997"/>
    <n v="114264"/>
  </r>
  <r>
    <n v="370"/>
    <x v="44"/>
    <x v="2"/>
    <x v="11"/>
    <x v="3"/>
    <x v="5"/>
    <x v="2"/>
    <n v="447"/>
    <n v="3705"/>
    <x v="369"/>
    <n v="873"/>
    <n v="390231"/>
    <n v="1265904"/>
  </r>
  <r>
    <n v="371"/>
    <x v="233"/>
    <x v="3"/>
    <x v="4"/>
    <x v="1"/>
    <x v="9"/>
    <x v="1"/>
    <n v="261"/>
    <n v="1061"/>
    <x v="370"/>
    <n v="505"/>
    <n v="131805"/>
    <n v="145116"/>
  </r>
  <r>
    <n v="372"/>
    <x v="199"/>
    <x v="0"/>
    <x v="0"/>
    <x v="0"/>
    <x v="0"/>
    <x v="2"/>
    <n v="365"/>
    <n v="1033"/>
    <x v="371"/>
    <n v="859"/>
    <n v="313535"/>
    <n v="63510"/>
  </r>
  <r>
    <n v="373"/>
    <x v="70"/>
    <x v="1"/>
    <x v="14"/>
    <x v="1"/>
    <x v="9"/>
    <x v="2"/>
    <n v="314"/>
    <n v="3511"/>
    <x v="372"/>
    <n v="602"/>
    <n v="189028"/>
    <n v="913426"/>
  </r>
  <r>
    <n v="374"/>
    <x v="109"/>
    <x v="1"/>
    <x v="1"/>
    <x v="2"/>
    <x v="10"/>
    <x v="0"/>
    <n v="313"/>
    <n v="2436"/>
    <x v="373"/>
    <n v="1739"/>
    <n v="544307"/>
    <n v="218161"/>
  </r>
  <r>
    <n v="375"/>
    <x v="234"/>
    <x v="2"/>
    <x v="11"/>
    <x v="2"/>
    <x v="10"/>
    <x v="0"/>
    <n v="85"/>
    <n v="3924"/>
    <x v="374"/>
    <n v="542"/>
    <n v="46070"/>
    <n v="287470"/>
  </r>
  <r>
    <n v="376"/>
    <x v="227"/>
    <x v="3"/>
    <x v="8"/>
    <x v="2"/>
    <x v="10"/>
    <x v="1"/>
    <n v="492"/>
    <n v="1302"/>
    <x v="375"/>
    <n v="160"/>
    <n v="78720"/>
    <n v="561864"/>
  </r>
  <r>
    <n v="377"/>
    <x v="235"/>
    <x v="3"/>
    <x v="7"/>
    <x v="0"/>
    <x v="4"/>
    <x v="0"/>
    <n v="101"/>
    <n v="3334"/>
    <x v="376"/>
    <n v="2576"/>
    <n v="260176"/>
    <n v="76558"/>
  </r>
  <r>
    <n v="378"/>
    <x v="168"/>
    <x v="2"/>
    <x v="5"/>
    <x v="1"/>
    <x v="3"/>
    <x v="0"/>
    <n v="399"/>
    <n v="826"/>
    <x v="377"/>
    <n v="776"/>
    <n v="309624"/>
    <n v="19950"/>
  </r>
  <r>
    <n v="379"/>
    <x v="198"/>
    <x v="0"/>
    <x v="9"/>
    <x v="3"/>
    <x v="8"/>
    <x v="0"/>
    <n v="261"/>
    <n v="4335"/>
    <x v="378"/>
    <n v="2243"/>
    <n v="585423"/>
    <n v="546012"/>
  </r>
  <r>
    <n v="380"/>
    <x v="179"/>
    <x v="2"/>
    <x v="15"/>
    <x v="0"/>
    <x v="4"/>
    <x v="1"/>
    <n v="240"/>
    <n v="2776"/>
    <x v="379"/>
    <n v="1641"/>
    <n v="393840"/>
    <n v="272400"/>
  </r>
  <r>
    <n v="381"/>
    <x v="88"/>
    <x v="0"/>
    <x v="9"/>
    <x v="0"/>
    <x v="0"/>
    <x v="1"/>
    <n v="347"/>
    <n v="2682"/>
    <x v="380"/>
    <n v="772"/>
    <n v="267884"/>
    <n v="662770"/>
  </r>
  <r>
    <n v="382"/>
    <x v="185"/>
    <x v="0"/>
    <x v="9"/>
    <x v="3"/>
    <x v="8"/>
    <x v="0"/>
    <n v="259"/>
    <n v="1096"/>
    <x v="381"/>
    <n v="682"/>
    <n v="176638"/>
    <n v="107226"/>
  </r>
  <r>
    <n v="383"/>
    <x v="72"/>
    <x v="0"/>
    <x v="9"/>
    <x v="2"/>
    <x v="6"/>
    <x v="1"/>
    <n v="38"/>
    <n v="3406"/>
    <x v="382"/>
    <n v="1178"/>
    <n v="44764"/>
    <n v="84664"/>
  </r>
  <r>
    <n v="384"/>
    <x v="236"/>
    <x v="0"/>
    <x v="9"/>
    <x v="1"/>
    <x v="1"/>
    <x v="2"/>
    <n v="24"/>
    <n v="569"/>
    <x v="383"/>
    <n v="165"/>
    <n v="3960"/>
    <n v="9696"/>
  </r>
  <r>
    <n v="385"/>
    <x v="112"/>
    <x v="2"/>
    <x v="3"/>
    <x v="0"/>
    <x v="11"/>
    <x v="2"/>
    <n v="59"/>
    <n v="3707"/>
    <x v="384"/>
    <n v="1513"/>
    <n v="89267"/>
    <n v="129446"/>
  </r>
  <r>
    <n v="386"/>
    <x v="145"/>
    <x v="2"/>
    <x v="11"/>
    <x v="1"/>
    <x v="9"/>
    <x v="0"/>
    <n v="136"/>
    <n v="2122"/>
    <x v="385"/>
    <n v="1427"/>
    <n v="194072"/>
    <n v="94520"/>
  </r>
  <r>
    <n v="387"/>
    <x v="237"/>
    <x v="2"/>
    <x v="15"/>
    <x v="0"/>
    <x v="4"/>
    <x v="1"/>
    <n v="96"/>
    <n v="361"/>
    <x v="386"/>
    <n v="237"/>
    <n v="22752"/>
    <n v="11904"/>
  </r>
  <r>
    <n v="388"/>
    <x v="238"/>
    <x v="2"/>
    <x v="15"/>
    <x v="2"/>
    <x v="6"/>
    <x v="2"/>
    <n v="273"/>
    <n v="3650"/>
    <x v="387"/>
    <n v="1192"/>
    <n v="325416"/>
    <n v="671034"/>
  </r>
  <r>
    <n v="389"/>
    <x v="121"/>
    <x v="3"/>
    <x v="4"/>
    <x v="0"/>
    <x v="4"/>
    <x v="2"/>
    <n v="209"/>
    <n v="2841"/>
    <x v="388"/>
    <n v="2445"/>
    <n v="511005"/>
    <n v="82764"/>
  </r>
  <r>
    <n v="390"/>
    <x v="239"/>
    <x v="3"/>
    <x v="4"/>
    <x v="0"/>
    <x v="11"/>
    <x v="0"/>
    <n v="182"/>
    <n v="4269"/>
    <x v="389"/>
    <n v="4218"/>
    <n v="767676"/>
    <n v="9282"/>
  </r>
  <r>
    <n v="391"/>
    <x v="113"/>
    <x v="2"/>
    <x v="5"/>
    <x v="1"/>
    <x v="1"/>
    <x v="2"/>
    <n v="264"/>
    <n v="817"/>
    <x v="390"/>
    <n v="648"/>
    <n v="171072"/>
    <n v="44616"/>
  </r>
  <r>
    <n v="392"/>
    <x v="53"/>
    <x v="1"/>
    <x v="13"/>
    <x v="1"/>
    <x v="9"/>
    <x v="2"/>
    <n v="215"/>
    <n v="2050"/>
    <x v="391"/>
    <n v="1379"/>
    <n v="296485"/>
    <n v="144265"/>
  </r>
  <r>
    <n v="393"/>
    <x v="238"/>
    <x v="3"/>
    <x v="7"/>
    <x v="1"/>
    <x v="1"/>
    <x v="1"/>
    <n v="420"/>
    <n v="4550"/>
    <x v="392"/>
    <n v="3993"/>
    <n v="1677060"/>
    <n v="233940"/>
  </r>
  <r>
    <n v="394"/>
    <x v="32"/>
    <x v="0"/>
    <x v="10"/>
    <x v="1"/>
    <x v="9"/>
    <x v="0"/>
    <n v="268"/>
    <n v="2656"/>
    <x v="393"/>
    <n v="1873"/>
    <n v="501964"/>
    <n v="209844"/>
  </r>
  <r>
    <n v="395"/>
    <x v="56"/>
    <x v="2"/>
    <x v="5"/>
    <x v="2"/>
    <x v="10"/>
    <x v="2"/>
    <n v="273"/>
    <n v="3912"/>
    <x v="394"/>
    <n v="2850"/>
    <n v="778050"/>
    <n v="289926"/>
  </r>
  <r>
    <n v="396"/>
    <x v="232"/>
    <x v="1"/>
    <x v="14"/>
    <x v="3"/>
    <x v="5"/>
    <x v="2"/>
    <n v="348"/>
    <n v="4028"/>
    <x v="395"/>
    <n v="1197"/>
    <n v="416556"/>
    <n v="985188"/>
  </r>
  <r>
    <n v="397"/>
    <x v="240"/>
    <x v="0"/>
    <x v="0"/>
    <x v="3"/>
    <x v="8"/>
    <x v="2"/>
    <n v="133"/>
    <n v="1432"/>
    <x v="396"/>
    <n v="714"/>
    <n v="94962"/>
    <n v="95494"/>
  </r>
  <r>
    <n v="398"/>
    <x v="210"/>
    <x v="0"/>
    <x v="9"/>
    <x v="1"/>
    <x v="9"/>
    <x v="0"/>
    <n v="443"/>
    <n v="3578"/>
    <x v="397"/>
    <n v="1193"/>
    <n v="528499"/>
    <n v="1056555"/>
  </r>
  <r>
    <n v="399"/>
    <x v="201"/>
    <x v="2"/>
    <x v="5"/>
    <x v="1"/>
    <x v="3"/>
    <x v="0"/>
    <n v="217"/>
    <n v="2153"/>
    <x v="398"/>
    <n v="332"/>
    <n v="72044"/>
    <n v="395157"/>
  </r>
  <r>
    <n v="400"/>
    <x v="104"/>
    <x v="1"/>
    <x v="6"/>
    <x v="0"/>
    <x v="0"/>
    <x v="2"/>
    <n v="258"/>
    <n v="4786"/>
    <x v="399"/>
    <n v="3672"/>
    <n v="947376"/>
    <n v="287412"/>
  </r>
  <r>
    <n v="401"/>
    <x v="126"/>
    <x v="0"/>
    <x v="0"/>
    <x v="3"/>
    <x v="7"/>
    <x v="2"/>
    <n v="24"/>
    <n v="2316"/>
    <x v="400"/>
    <n v="1237"/>
    <n v="29688"/>
    <n v="25896"/>
  </r>
  <r>
    <n v="402"/>
    <x v="241"/>
    <x v="1"/>
    <x v="14"/>
    <x v="2"/>
    <x v="2"/>
    <x v="1"/>
    <n v="170"/>
    <n v="2641"/>
    <x v="401"/>
    <n v="360"/>
    <n v="61200"/>
    <n v="387770"/>
  </r>
  <r>
    <n v="403"/>
    <x v="242"/>
    <x v="0"/>
    <x v="2"/>
    <x v="0"/>
    <x v="4"/>
    <x v="0"/>
    <n v="130"/>
    <n v="1116"/>
    <x v="402"/>
    <n v="684"/>
    <n v="88920"/>
    <n v="56160"/>
  </r>
  <r>
    <n v="404"/>
    <x v="58"/>
    <x v="3"/>
    <x v="8"/>
    <x v="2"/>
    <x v="2"/>
    <x v="1"/>
    <n v="72"/>
    <n v="2767"/>
    <x v="403"/>
    <n v="1448"/>
    <n v="104256"/>
    <n v="94968"/>
  </r>
  <r>
    <n v="405"/>
    <x v="12"/>
    <x v="0"/>
    <x v="10"/>
    <x v="2"/>
    <x v="2"/>
    <x v="1"/>
    <n v="99"/>
    <n v="1953"/>
    <x v="404"/>
    <n v="662"/>
    <n v="65538"/>
    <n v="127809"/>
  </r>
  <r>
    <n v="406"/>
    <x v="223"/>
    <x v="0"/>
    <x v="9"/>
    <x v="1"/>
    <x v="3"/>
    <x v="1"/>
    <n v="283"/>
    <n v="3269"/>
    <x v="405"/>
    <n v="2965"/>
    <n v="839095"/>
    <n v="86032"/>
  </r>
  <r>
    <n v="407"/>
    <x v="243"/>
    <x v="3"/>
    <x v="8"/>
    <x v="2"/>
    <x v="10"/>
    <x v="0"/>
    <n v="152"/>
    <n v="1387"/>
    <x v="406"/>
    <n v="843"/>
    <n v="128136"/>
    <n v="82688"/>
  </r>
  <r>
    <n v="408"/>
    <x v="55"/>
    <x v="0"/>
    <x v="2"/>
    <x v="1"/>
    <x v="9"/>
    <x v="0"/>
    <n v="27"/>
    <n v="647"/>
    <x v="407"/>
    <n v="453"/>
    <n v="12231"/>
    <n v="5238"/>
  </r>
  <r>
    <n v="409"/>
    <x v="184"/>
    <x v="1"/>
    <x v="13"/>
    <x v="2"/>
    <x v="10"/>
    <x v="0"/>
    <n v="195"/>
    <n v="1199"/>
    <x v="408"/>
    <n v="584"/>
    <n v="113880"/>
    <n v="119925"/>
  </r>
  <r>
    <n v="410"/>
    <x v="32"/>
    <x v="0"/>
    <x v="9"/>
    <x v="0"/>
    <x v="4"/>
    <x v="2"/>
    <n v="56"/>
    <n v="2128"/>
    <x v="409"/>
    <n v="709"/>
    <n v="39704"/>
    <n v="79464"/>
  </r>
  <r>
    <n v="411"/>
    <x v="244"/>
    <x v="1"/>
    <x v="6"/>
    <x v="2"/>
    <x v="6"/>
    <x v="2"/>
    <n v="218"/>
    <n v="477"/>
    <x v="410"/>
    <n v="240"/>
    <n v="52320"/>
    <n v="51666"/>
  </r>
  <r>
    <n v="412"/>
    <x v="207"/>
    <x v="3"/>
    <x v="4"/>
    <x v="2"/>
    <x v="6"/>
    <x v="2"/>
    <n v="377"/>
    <n v="3660"/>
    <x v="411"/>
    <n v="3459"/>
    <n v="1304043"/>
    <n v="75777"/>
  </r>
  <r>
    <n v="413"/>
    <x v="11"/>
    <x v="3"/>
    <x v="12"/>
    <x v="1"/>
    <x v="3"/>
    <x v="1"/>
    <n v="225"/>
    <n v="4686"/>
    <x v="412"/>
    <n v="2776"/>
    <n v="624600"/>
    <n v="429750"/>
  </r>
  <r>
    <n v="414"/>
    <x v="142"/>
    <x v="0"/>
    <x v="0"/>
    <x v="0"/>
    <x v="11"/>
    <x v="0"/>
    <n v="332"/>
    <n v="3832"/>
    <x v="413"/>
    <n v="3340"/>
    <n v="1108880"/>
    <n v="163344"/>
  </r>
  <r>
    <n v="415"/>
    <x v="245"/>
    <x v="1"/>
    <x v="14"/>
    <x v="2"/>
    <x v="2"/>
    <x v="0"/>
    <n v="170"/>
    <n v="4917"/>
    <x v="414"/>
    <n v="773"/>
    <n v="131410"/>
    <n v="704480"/>
  </r>
  <r>
    <n v="416"/>
    <x v="172"/>
    <x v="3"/>
    <x v="12"/>
    <x v="3"/>
    <x v="5"/>
    <x v="0"/>
    <n v="400"/>
    <n v="1265"/>
    <x v="415"/>
    <n v="940"/>
    <n v="376000"/>
    <n v="130000"/>
  </r>
  <r>
    <n v="417"/>
    <x v="43"/>
    <x v="2"/>
    <x v="11"/>
    <x v="2"/>
    <x v="6"/>
    <x v="1"/>
    <n v="98"/>
    <n v="2883"/>
    <x v="416"/>
    <n v="1254"/>
    <n v="122892"/>
    <n v="159642"/>
  </r>
  <r>
    <n v="418"/>
    <x v="82"/>
    <x v="1"/>
    <x v="14"/>
    <x v="2"/>
    <x v="10"/>
    <x v="1"/>
    <n v="458"/>
    <n v="3291"/>
    <x v="417"/>
    <n v="2436"/>
    <n v="1115688"/>
    <n v="391590"/>
  </r>
  <r>
    <n v="419"/>
    <x v="139"/>
    <x v="1"/>
    <x v="14"/>
    <x v="0"/>
    <x v="11"/>
    <x v="0"/>
    <n v="330"/>
    <n v="2073"/>
    <x v="418"/>
    <n v="1957"/>
    <n v="645810"/>
    <n v="38280"/>
  </r>
  <r>
    <n v="420"/>
    <x v="246"/>
    <x v="3"/>
    <x v="4"/>
    <x v="3"/>
    <x v="8"/>
    <x v="0"/>
    <n v="35"/>
    <n v="3485"/>
    <x v="419"/>
    <n v="2631"/>
    <n v="92085"/>
    <n v="29890"/>
  </r>
  <r>
    <n v="421"/>
    <x v="247"/>
    <x v="0"/>
    <x v="2"/>
    <x v="3"/>
    <x v="7"/>
    <x v="2"/>
    <n v="494"/>
    <n v="4846"/>
    <x v="420"/>
    <n v="1061"/>
    <n v="524134"/>
    <n v="1869790"/>
  </r>
  <r>
    <n v="422"/>
    <x v="51"/>
    <x v="3"/>
    <x v="4"/>
    <x v="2"/>
    <x v="6"/>
    <x v="2"/>
    <n v="124"/>
    <n v="1864"/>
    <x v="421"/>
    <n v="490"/>
    <n v="60760"/>
    <n v="170376"/>
  </r>
  <r>
    <n v="423"/>
    <x v="248"/>
    <x v="2"/>
    <x v="3"/>
    <x v="2"/>
    <x v="10"/>
    <x v="1"/>
    <n v="448"/>
    <n v="1892"/>
    <x v="422"/>
    <n v="1328"/>
    <n v="594944"/>
    <n v="252672"/>
  </r>
  <r>
    <n v="424"/>
    <x v="62"/>
    <x v="1"/>
    <x v="13"/>
    <x v="3"/>
    <x v="8"/>
    <x v="1"/>
    <n v="415"/>
    <n v="1395"/>
    <x v="423"/>
    <n v="158"/>
    <n v="65570"/>
    <n v="513355"/>
  </r>
  <r>
    <n v="425"/>
    <x v="249"/>
    <x v="2"/>
    <x v="3"/>
    <x v="3"/>
    <x v="5"/>
    <x v="2"/>
    <n v="199"/>
    <n v="4975"/>
    <x v="424"/>
    <n v="3853"/>
    <n v="766747"/>
    <n v="223278"/>
  </r>
  <r>
    <n v="426"/>
    <x v="7"/>
    <x v="3"/>
    <x v="7"/>
    <x v="2"/>
    <x v="2"/>
    <x v="2"/>
    <n v="213"/>
    <n v="1938"/>
    <x v="425"/>
    <n v="1560"/>
    <n v="332280"/>
    <n v="80514"/>
  </r>
  <r>
    <n v="427"/>
    <x v="88"/>
    <x v="0"/>
    <x v="9"/>
    <x v="1"/>
    <x v="9"/>
    <x v="1"/>
    <n v="40"/>
    <n v="626"/>
    <x v="426"/>
    <n v="270"/>
    <n v="10800"/>
    <n v="14240"/>
  </r>
  <r>
    <n v="428"/>
    <x v="250"/>
    <x v="1"/>
    <x v="1"/>
    <x v="1"/>
    <x v="3"/>
    <x v="0"/>
    <n v="373"/>
    <n v="572"/>
    <x v="427"/>
    <n v="102"/>
    <n v="38046"/>
    <n v="175310"/>
  </r>
  <r>
    <n v="429"/>
    <x v="218"/>
    <x v="2"/>
    <x v="11"/>
    <x v="1"/>
    <x v="1"/>
    <x v="0"/>
    <n v="77"/>
    <n v="4783"/>
    <x v="428"/>
    <n v="436"/>
    <n v="33572"/>
    <n v="334719"/>
  </r>
  <r>
    <n v="430"/>
    <x v="64"/>
    <x v="1"/>
    <x v="13"/>
    <x v="3"/>
    <x v="5"/>
    <x v="2"/>
    <n v="459"/>
    <n v="4034"/>
    <x v="429"/>
    <n v="640"/>
    <n v="293760"/>
    <n v="1557846"/>
  </r>
  <r>
    <n v="431"/>
    <x v="160"/>
    <x v="3"/>
    <x v="8"/>
    <x v="2"/>
    <x v="2"/>
    <x v="2"/>
    <n v="170"/>
    <n v="561"/>
    <x v="430"/>
    <n v="165"/>
    <n v="28050"/>
    <n v="67320"/>
  </r>
  <r>
    <n v="432"/>
    <x v="251"/>
    <x v="0"/>
    <x v="2"/>
    <x v="1"/>
    <x v="1"/>
    <x v="2"/>
    <n v="323"/>
    <n v="2360"/>
    <x v="431"/>
    <n v="2217"/>
    <n v="716091"/>
    <n v="46189"/>
  </r>
  <r>
    <n v="433"/>
    <x v="223"/>
    <x v="2"/>
    <x v="11"/>
    <x v="3"/>
    <x v="8"/>
    <x v="0"/>
    <n v="401"/>
    <n v="1439"/>
    <x v="432"/>
    <n v="1238"/>
    <n v="496438"/>
    <n v="80601"/>
  </r>
  <r>
    <n v="434"/>
    <x v="79"/>
    <x v="0"/>
    <x v="0"/>
    <x v="3"/>
    <x v="7"/>
    <x v="1"/>
    <n v="103"/>
    <n v="493"/>
    <x v="433"/>
    <n v="340"/>
    <n v="35020"/>
    <n v="15759"/>
  </r>
  <r>
    <n v="435"/>
    <x v="252"/>
    <x v="2"/>
    <x v="5"/>
    <x v="2"/>
    <x v="10"/>
    <x v="1"/>
    <n v="30"/>
    <n v="3816"/>
    <x v="434"/>
    <n v="1560"/>
    <n v="46800"/>
    <n v="67680"/>
  </r>
  <r>
    <n v="436"/>
    <x v="240"/>
    <x v="0"/>
    <x v="9"/>
    <x v="2"/>
    <x v="2"/>
    <x v="0"/>
    <n v="73"/>
    <n v="3063"/>
    <x v="435"/>
    <n v="483"/>
    <n v="35259"/>
    <n v="188340"/>
  </r>
  <r>
    <n v="437"/>
    <x v="135"/>
    <x v="1"/>
    <x v="13"/>
    <x v="3"/>
    <x v="7"/>
    <x v="0"/>
    <n v="431"/>
    <n v="2434"/>
    <x v="436"/>
    <n v="969"/>
    <n v="417639"/>
    <n v="631415"/>
  </r>
  <r>
    <n v="438"/>
    <x v="84"/>
    <x v="3"/>
    <x v="12"/>
    <x v="2"/>
    <x v="2"/>
    <x v="1"/>
    <n v="356"/>
    <n v="972"/>
    <x v="437"/>
    <n v="436"/>
    <n v="155216"/>
    <n v="190816"/>
  </r>
  <r>
    <n v="439"/>
    <x v="174"/>
    <x v="3"/>
    <x v="8"/>
    <x v="0"/>
    <x v="4"/>
    <x v="2"/>
    <n v="485"/>
    <n v="1068"/>
    <x v="438"/>
    <n v="957"/>
    <n v="464145"/>
    <n v="53835"/>
  </r>
  <r>
    <n v="440"/>
    <x v="253"/>
    <x v="2"/>
    <x v="5"/>
    <x v="0"/>
    <x v="0"/>
    <x v="2"/>
    <n v="347"/>
    <n v="4130"/>
    <x v="439"/>
    <n v="1959"/>
    <n v="679773"/>
    <n v="753337"/>
  </r>
  <r>
    <n v="441"/>
    <x v="102"/>
    <x v="2"/>
    <x v="15"/>
    <x v="1"/>
    <x v="9"/>
    <x v="0"/>
    <n v="496"/>
    <n v="3911"/>
    <x v="440"/>
    <n v="1430"/>
    <n v="709280"/>
    <n v="1230576"/>
  </r>
  <r>
    <n v="442"/>
    <x v="20"/>
    <x v="1"/>
    <x v="6"/>
    <x v="0"/>
    <x v="11"/>
    <x v="2"/>
    <n v="418"/>
    <n v="654"/>
    <x v="441"/>
    <n v="480"/>
    <n v="200640"/>
    <n v="72732"/>
  </r>
  <r>
    <n v="443"/>
    <x v="254"/>
    <x v="3"/>
    <x v="4"/>
    <x v="0"/>
    <x v="4"/>
    <x v="2"/>
    <n v="132"/>
    <n v="3467"/>
    <x v="442"/>
    <n v="465"/>
    <n v="61380"/>
    <n v="396264"/>
  </r>
  <r>
    <n v="444"/>
    <x v="61"/>
    <x v="3"/>
    <x v="12"/>
    <x v="3"/>
    <x v="8"/>
    <x v="2"/>
    <n v="341"/>
    <n v="1462"/>
    <x v="443"/>
    <n v="346"/>
    <n v="117986"/>
    <n v="380556"/>
  </r>
  <r>
    <n v="445"/>
    <x v="255"/>
    <x v="2"/>
    <x v="11"/>
    <x v="2"/>
    <x v="6"/>
    <x v="2"/>
    <n v="318"/>
    <n v="1275"/>
    <x v="444"/>
    <n v="835"/>
    <n v="265530"/>
    <n v="139920"/>
  </r>
  <r>
    <n v="446"/>
    <x v="256"/>
    <x v="3"/>
    <x v="8"/>
    <x v="3"/>
    <x v="8"/>
    <x v="2"/>
    <n v="253"/>
    <n v="2399"/>
    <x v="445"/>
    <n v="1832"/>
    <n v="463496"/>
    <n v="143451"/>
  </r>
  <r>
    <n v="447"/>
    <x v="257"/>
    <x v="3"/>
    <x v="4"/>
    <x v="1"/>
    <x v="3"/>
    <x v="1"/>
    <n v="332"/>
    <n v="3689"/>
    <x v="446"/>
    <n v="480"/>
    <n v="159360"/>
    <n v="1065388"/>
  </r>
  <r>
    <n v="448"/>
    <x v="258"/>
    <x v="3"/>
    <x v="8"/>
    <x v="2"/>
    <x v="6"/>
    <x v="1"/>
    <n v="361"/>
    <n v="1470"/>
    <x v="447"/>
    <n v="1114"/>
    <n v="402154"/>
    <n v="128516"/>
  </r>
  <r>
    <n v="449"/>
    <x v="259"/>
    <x v="3"/>
    <x v="8"/>
    <x v="2"/>
    <x v="10"/>
    <x v="1"/>
    <n v="163"/>
    <n v="1417"/>
    <x v="448"/>
    <n v="361"/>
    <n v="58843"/>
    <n v="172128"/>
  </r>
  <r>
    <n v="450"/>
    <x v="86"/>
    <x v="2"/>
    <x v="5"/>
    <x v="2"/>
    <x v="10"/>
    <x v="0"/>
    <n v="292"/>
    <n v="826"/>
    <x v="449"/>
    <n v="146"/>
    <n v="42632"/>
    <n v="198560"/>
  </r>
  <r>
    <n v="451"/>
    <x v="191"/>
    <x v="3"/>
    <x v="4"/>
    <x v="2"/>
    <x v="2"/>
    <x v="2"/>
    <n v="378"/>
    <n v="4856"/>
    <x v="450"/>
    <n v="2175"/>
    <n v="822150"/>
    <n v="1013418"/>
  </r>
  <r>
    <n v="452"/>
    <x v="260"/>
    <x v="2"/>
    <x v="3"/>
    <x v="0"/>
    <x v="11"/>
    <x v="1"/>
    <n v="389"/>
    <n v="3991"/>
    <x v="451"/>
    <n v="835"/>
    <n v="324815"/>
    <n v="1227684"/>
  </r>
  <r>
    <n v="453"/>
    <x v="181"/>
    <x v="1"/>
    <x v="1"/>
    <x v="0"/>
    <x v="0"/>
    <x v="2"/>
    <n v="162"/>
    <n v="2771"/>
    <x v="452"/>
    <n v="2505"/>
    <n v="405810"/>
    <n v="43092"/>
  </r>
  <r>
    <n v="454"/>
    <x v="132"/>
    <x v="0"/>
    <x v="9"/>
    <x v="1"/>
    <x v="1"/>
    <x v="1"/>
    <n v="104"/>
    <n v="840"/>
    <x v="453"/>
    <n v="718"/>
    <n v="74672"/>
    <n v="12688"/>
  </r>
  <r>
    <n v="455"/>
    <x v="41"/>
    <x v="2"/>
    <x v="15"/>
    <x v="2"/>
    <x v="6"/>
    <x v="1"/>
    <n v="212"/>
    <n v="1155"/>
    <x v="454"/>
    <n v="113"/>
    <n v="23956"/>
    <n v="220904"/>
  </r>
  <r>
    <n v="456"/>
    <x v="117"/>
    <x v="1"/>
    <x v="1"/>
    <x v="2"/>
    <x v="6"/>
    <x v="2"/>
    <n v="391"/>
    <n v="4187"/>
    <x v="455"/>
    <n v="1340"/>
    <n v="523940"/>
    <n v="1113177"/>
  </r>
  <r>
    <n v="457"/>
    <x v="126"/>
    <x v="2"/>
    <x v="11"/>
    <x v="1"/>
    <x v="9"/>
    <x v="1"/>
    <n v="17"/>
    <n v="1763"/>
    <x v="456"/>
    <n v="329"/>
    <n v="5593"/>
    <n v="24378"/>
  </r>
  <r>
    <n v="458"/>
    <x v="172"/>
    <x v="3"/>
    <x v="12"/>
    <x v="0"/>
    <x v="0"/>
    <x v="2"/>
    <n v="84"/>
    <n v="2180"/>
    <x v="457"/>
    <n v="992"/>
    <n v="83328"/>
    <n v="99792"/>
  </r>
  <r>
    <n v="459"/>
    <x v="33"/>
    <x v="1"/>
    <x v="14"/>
    <x v="1"/>
    <x v="1"/>
    <x v="1"/>
    <n v="226"/>
    <n v="378"/>
    <x v="458"/>
    <n v="129"/>
    <n v="29154"/>
    <n v="56274"/>
  </r>
  <r>
    <n v="460"/>
    <x v="261"/>
    <x v="1"/>
    <x v="6"/>
    <x v="2"/>
    <x v="10"/>
    <x v="2"/>
    <n v="450"/>
    <n v="3882"/>
    <x v="459"/>
    <n v="2497"/>
    <n v="1123650"/>
    <n v="623250"/>
  </r>
  <r>
    <n v="461"/>
    <x v="262"/>
    <x v="1"/>
    <x v="6"/>
    <x v="1"/>
    <x v="3"/>
    <x v="2"/>
    <n v="180"/>
    <n v="264"/>
    <x v="460"/>
    <n v="113"/>
    <n v="20340"/>
    <n v="27180"/>
  </r>
  <r>
    <n v="462"/>
    <x v="35"/>
    <x v="0"/>
    <x v="9"/>
    <x v="2"/>
    <x v="6"/>
    <x v="0"/>
    <n v="384"/>
    <n v="4740"/>
    <x v="461"/>
    <n v="2482"/>
    <n v="953088"/>
    <n v="867072"/>
  </r>
  <r>
    <n v="463"/>
    <x v="174"/>
    <x v="3"/>
    <x v="4"/>
    <x v="2"/>
    <x v="10"/>
    <x v="0"/>
    <n v="381"/>
    <n v="4196"/>
    <x v="462"/>
    <n v="1049"/>
    <n v="399669"/>
    <n v="1199007"/>
  </r>
  <r>
    <n v="464"/>
    <x v="200"/>
    <x v="3"/>
    <x v="7"/>
    <x v="2"/>
    <x v="6"/>
    <x v="2"/>
    <n v="42"/>
    <n v="2394"/>
    <x v="463"/>
    <n v="1808"/>
    <n v="75936"/>
    <n v="24612"/>
  </r>
  <r>
    <n v="465"/>
    <x v="110"/>
    <x v="0"/>
    <x v="0"/>
    <x v="2"/>
    <x v="6"/>
    <x v="0"/>
    <n v="239"/>
    <n v="3773"/>
    <x v="464"/>
    <n v="185"/>
    <n v="44215"/>
    <n v="857532"/>
  </r>
  <r>
    <n v="466"/>
    <x v="67"/>
    <x v="1"/>
    <x v="13"/>
    <x v="3"/>
    <x v="8"/>
    <x v="2"/>
    <n v="128"/>
    <n v="4358"/>
    <x v="465"/>
    <n v="1899"/>
    <n v="243072"/>
    <n v="314752"/>
  </r>
  <r>
    <n v="467"/>
    <x v="180"/>
    <x v="2"/>
    <x v="11"/>
    <x v="3"/>
    <x v="8"/>
    <x v="0"/>
    <n v="209"/>
    <n v="3614"/>
    <x v="466"/>
    <n v="3512"/>
    <n v="734008"/>
    <n v="21318"/>
  </r>
  <r>
    <n v="468"/>
    <x v="228"/>
    <x v="2"/>
    <x v="11"/>
    <x v="3"/>
    <x v="5"/>
    <x v="1"/>
    <n v="363"/>
    <n v="906"/>
    <x v="467"/>
    <n v="783"/>
    <n v="284229"/>
    <n v="44649"/>
  </r>
  <r>
    <n v="469"/>
    <x v="55"/>
    <x v="0"/>
    <x v="10"/>
    <x v="3"/>
    <x v="7"/>
    <x v="1"/>
    <n v="261"/>
    <n v="1026"/>
    <x v="468"/>
    <n v="912"/>
    <n v="238032"/>
    <n v="29754"/>
  </r>
  <r>
    <n v="470"/>
    <x v="88"/>
    <x v="0"/>
    <x v="9"/>
    <x v="1"/>
    <x v="9"/>
    <x v="1"/>
    <n v="34"/>
    <n v="348"/>
    <x v="469"/>
    <n v="191"/>
    <n v="6494"/>
    <n v="5338"/>
  </r>
  <r>
    <n v="471"/>
    <x v="204"/>
    <x v="2"/>
    <x v="3"/>
    <x v="3"/>
    <x v="7"/>
    <x v="0"/>
    <n v="423"/>
    <n v="721"/>
    <x v="470"/>
    <n v="445"/>
    <n v="188235"/>
    <n v="116748"/>
  </r>
  <r>
    <n v="472"/>
    <x v="1"/>
    <x v="0"/>
    <x v="0"/>
    <x v="3"/>
    <x v="7"/>
    <x v="0"/>
    <n v="259"/>
    <n v="2312"/>
    <x v="471"/>
    <n v="1493"/>
    <n v="386687"/>
    <n v="212121"/>
  </r>
  <r>
    <n v="473"/>
    <x v="18"/>
    <x v="2"/>
    <x v="15"/>
    <x v="1"/>
    <x v="9"/>
    <x v="0"/>
    <n v="319"/>
    <n v="1053"/>
    <x v="472"/>
    <n v="823"/>
    <n v="262537"/>
    <n v="73370"/>
  </r>
  <r>
    <n v="474"/>
    <x v="263"/>
    <x v="3"/>
    <x v="4"/>
    <x v="2"/>
    <x v="2"/>
    <x v="1"/>
    <n v="322"/>
    <n v="1034"/>
    <x v="473"/>
    <n v="943"/>
    <n v="303646"/>
    <n v="29302"/>
  </r>
  <r>
    <n v="475"/>
    <x v="239"/>
    <x v="3"/>
    <x v="7"/>
    <x v="3"/>
    <x v="5"/>
    <x v="1"/>
    <n v="476"/>
    <n v="3162"/>
    <x v="474"/>
    <n v="743"/>
    <n v="353668"/>
    <n v="1151444"/>
  </r>
  <r>
    <n v="476"/>
    <x v="163"/>
    <x v="2"/>
    <x v="11"/>
    <x v="2"/>
    <x v="6"/>
    <x v="1"/>
    <n v="341"/>
    <n v="3179"/>
    <x v="475"/>
    <n v="1470"/>
    <n v="501270"/>
    <n v="582769"/>
  </r>
  <r>
    <n v="477"/>
    <x v="27"/>
    <x v="1"/>
    <x v="14"/>
    <x v="3"/>
    <x v="8"/>
    <x v="2"/>
    <n v="135"/>
    <n v="4080"/>
    <x v="476"/>
    <n v="1498"/>
    <n v="202230"/>
    <n v="348570"/>
  </r>
  <r>
    <n v="478"/>
    <x v="221"/>
    <x v="2"/>
    <x v="5"/>
    <x v="0"/>
    <x v="4"/>
    <x v="2"/>
    <n v="194"/>
    <n v="2210"/>
    <x v="477"/>
    <n v="720"/>
    <n v="139680"/>
    <n v="289060"/>
  </r>
  <r>
    <n v="479"/>
    <x v="62"/>
    <x v="0"/>
    <x v="10"/>
    <x v="3"/>
    <x v="8"/>
    <x v="2"/>
    <n v="469"/>
    <n v="3958"/>
    <x v="478"/>
    <n v="3591"/>
    <n v="1684179"/>
    <n v="172123"/>
  </r>
  <r>
    <n v="480"/>
    <x v="68"/>
    <x v="2"/>
    <x v="15"/>
    <x v="2"/>
    <x v="2"/>
    <x v="1"/>
    <n v="493"/>
    <n v="770"/>
    <x v="479"/>
    <n v="186"/>
    <n v="91698"/>
    <n v="287912"/>
  </r>
  <r>
    <n v="481"/>
    <x v="236"/>
    <x v="2"/>
    <x v="3"/>
    <x v="2"/>
    <x v="2"/>
    <x v="2"/>
    <n v="211"/>
    <n v="503"/>
    <x v="480"/>
    <n v="438"/>
    <n v="92418"/>
    <n v="13715"/>
  </r>
  <r>
    <n v="482"/>
    <x v="264"/>
    <x v="1"/>
    <x v="14"/>
    <x v="1"/>
    <x v="1"/>
    <x v="2"/>
    <n v="368"/>
    <n v="4735"/>
    <x v="481"/>
    <n v="2593"/>
    <n v="954224"/>
    <n v="788256"/>
  </r>
  <r>
    <n v="483"/>
    <x v="263"/>
    <x v="2"/>
    <x v="3"/>
    <x v="0"/>
    <x v="4"/>
    <x v="0"/>
    <n v="481"/>
    <n v="1403"/>
    <x v="482"/>
    <n v="927"/>
    <n v="445887"/>
    <n v="228956"/>
  </r>
  <r>
    <n v="484"/>
    <x v="172"/>
    <x v="0"/>
    <x v="10"/>
    <x v="2"/>
    <x v="6"/>
    <x v="2"/>
    <n v="217"/>
    <n v="1816"/>
    <x v="483"/>
    <n v="717"/>
    <n v="155589"/>
    <n v="238483"/>
  </r>
  <r>
    <n v="485"/>
    <x v="217"/>
    <x v="3"/>
    <x v="7"/>
    <x v="1"/>
    <x v="1"/>
    <x v="0"/>
    <n v="276"/>
    <n v="4630"/>
    <x v="484"/>
    <n v="2425"/>
    <n v="669300"/>
    <n v="608580"/>
  </r>
  <r>
    <n v="486"/>
    <x v="226"/>
    <x v="1"/>
    <x v="14"/>
    <x v="1"/>
    <x v="3"/>
    <x v="2"/>
    <n v="91"/>
    <n v="391"/>
    <x v="485"/>
    <n v="107"/>
    <n v="9737"/>
    <n v="25844"/>
  </r>
  <r>
    <n v="487"/>
    <x v="6"/>
    <x v="2"/>
    <x v="5"/>
    <x v="1"/>
    <x v="3"/>
    <x v="2"/>
    <n v="66"/>
    <n v="691"/>
    <x v="486"/>
    <n v="481"/>
    <n v="31746"/>
    <n v="13860"/>
  </r>
  <r>
    <n v="488"/>
    <x v="265"/>
    <x v="2"/>
    <x v="3"/>
    <x v="0"/>
    <x v="0"/>
    <x v="0"/>
    <n v="239"/>
    <n v="2640"/>
    <x v="487"/>
    <n v="2444"/>
    <n v="584116"/>
    <n v="46844"/>
  </r>
  <r>
    <n v="489"/>
    <x v="109"/>
    <x v="3"/>
    <x v="4"/>
    <x v="1"/>
    <x v="9"/>
    <x v="0"/>
    <n v="299"/>
    <n v="4568"/>
    <x v="488"/>
    <n v="2015"/>
    <n v="602485"/>
    <n v="763347"/>
  </r>
  <r>
    <n v="490"/>
    <x v="53"/>
    <x v="2"/>
    <x v="3"/>
    <x v="1"/>
    <x v="3"/>
    <x v="0"/>
    <n v="354"/>
    <n v="1346"/>
    <x v="489"/>
    <n v="873"/>
    <n v="309042"/>
    <n v="167442"/>
  </r>
  <r>
    <n v="491"/>
    <x v="266"/>
    <x v="1"/>
    <x v="14"/>
    <x v="1"/>
    <x v="3"/>
    <x v="0"/>
    <n v="431"/>
    <n v="3159"/>
    <x v="490"/>
    <n v="1960"/>
    <n v="844760"/>
    <n v="516769"/>
  </r>
  <r>
    <n v="492"/>
    <x v="267"/>
    <x v="3"/>
    <x v="12"/>
    <x v="2"/>
    <x v="10"/>
    <x v="1"/>
    <n v="41"/>
    <n v="3680"/>
    <x v="491"/>
    <n v="632"/>
    <n v="25912"/>
    <n v="124968"/>
  </r>
  <r>
    <n v="493"/>
    <x v="164"/>
    <x v="0"/>
    <x v="10"/>
    <x v="2"/>
    <x v="2"/>
    <x v="2"/>
    <n v="279"/>
    <n v="3499"/>
    <x v="492"/>
    <n v="2509"/>
    <n v="700011"/>
    <n v="276210"/>
  </r>
  <r>
    <n v="494"/>
    <x v="146"/>
    <x v="0"/>
    <x v="2"/>
    <x v="2"/>
    <x v="6"/>
    <x v="2"/>
    <n v="362"/>
    <n v="4210"/>
    <x v="493"/>
    <n v="3097"/>
    <n v="1121114"/>
    <n v="402906"/>
  </r>
  <r>
    <n v="495"/>
    <x v="203"/>
    <x v="0"/>
    <x v="10"/>
    <x v="3"/>
    <x v="5"/>
    <x v="1"/>
    <n v="374"/>
    <n v="3949"/>
    <x v="494"/>
    <n v="629"/>
    <n v="235246"/>
    <n v="1241680"/>
  </r>
  <r>
    <n v="496"/>
    <x v="136"/>
    <x v="3"/>
    <x v="12"/>
    <x v="2"/>
    <x v="10"/>
    <x v="1"/>
    <n v="493"/>
    <n v="4779"/>
    <x v="495"/>
    <n v="3125"/>
    <n v="1540625"/>
    <n v="815422"/>
  </r>
  <r>
    <n v="497"/>
    <x v="121"/>
    <x v="3"/>
    <x v="4"/>
    <x v="0"/>
    <x v="0"/>
    <x v="2"/>
    <n v="158"/>
    <n v="529"/>
    <x v="496"/>
    <n v="367"/>
    <n v="57986"/>
    <n v="25596"/>
  </r>
  <r>
    <n v="498"/>
    <x v="99"/>
    <x v="1"/>
    <x v="14"/>
    <x v="1"/>
    <x v="1"/>
    <x v="2"/>
    <n v="160"/>
    <n v="4180"/>
    <x v="497"/>
    <n v="214"/>
    <n v="34240"/>
    <n v="634560"/>
  </r>
  <r>
    <n v="499"/>
    <x v="61"/>
    <x v="1"/>
    <x v="6"/>
    <x v="2"/>
    <x v="2"/>
    <x v="2"/>
    <n v="120"/>
    <n v="1699"/>
    <x v="498"/>
    <n v="1614"/>
    <n v="193680"/>
    <n v="10200"/>
  </r>
  <r>
    <n v="500"/>
    <x v="38"/>
    <x v="0"/>
    <x v="0"/>
    <x v="0"/>
    <x v="11"/>
    <x v="2"/>
    <n v="455"/>
    <n v="566"/>
    <x v="499"/>
    <n v="313"/>
    <n v="142415"/>
    <n v="115115"/>
  </r>
  <r>
    <n v="501"/>
    <x v="268"/>
    <x v="0"/>
    <x v="2"/>
    <x v="2"/>
    <x v="10"/>
    <x v="2"/>
    <n v="437"/>
    <n v="1287"/>
    <x v="500"/>
    <n v="383"/>
    <n v="167371"/>
    <n v="395048"/>
  </r>
  <r>
    <n v="502"/>
    <x v="96"/>
    <x v="0"/>
    <x v="9"/>
    <x v="2"/>
    <x v="2"/>
    <x v="0"/>
    <n v="55"/>
    <n v="3555"/>
    <x v="501"/>
    <n v="1686"/>
    <n v="92730"/>
    <n v="102795"/>
  </r>
  <r>
    <n v="503"/>
    <x v="167"/>
    <x v="1"/>
    <x v="1"/>
    <x v="1"/>
    <x v="3"/>
    <x v="1"/>
    <n v="465"/>
    <n v="3829"/>
    <x v="502"/>
    <n v="3114"/>
    <n v="1448010"/>
    <n v="332475"/>
  </r>
  <r>
    <n v="504"/>
    <x v="121"/>
    <x v="2"/>
    <x v="15"/>
    <x v="3"/>
    <x v="5"/>
    <x v="1"/>
    <n v="332"/>
    <n v="2730"/>
    <x v="503"/>
    <n v="2398"/>
    <n v="796136"/>
    <n v="110224"/>
  </r>
  <r>
    <n v="505"/>
    <x v="81"/>
    <x v="3"/>
    <x v="7"/>
    <x v="3"/>
    <x v="5"/>
    <x v="0"/>
    <n v="397"/>
    <n v="633"/>
    <x v="504"/>
    <n v="391"/>
    <n v="155227"/>
    <n v="96074"/>
  </r>
  <r>
    <n v="506"/>
    <x v="269"/>
    <x v="1"/>
    <x v="1"/>
    <x v="0"/>
    <x v="0"/>
    <x v="0"/>
    <n v="102"/>
    <n v="355"/>
    <x v="505"/>
    <n v="170"/>
    <n v="17340"/>
    <n v="18870"/>
  </r>
  <r>
    <n v="507"/>
    <x v="55"/>
    <x v="1"/>
    <x v="6"/>
    <x v="2"/>
    <x v="2"/>
    <x v="0"/>
    <n v="174"/>
    <n v="3491"/>
    <x v="506"/>
    <n v="2512"/>
    <n v="437088"/>
    <n v="170346"/>
  </r>
  <r>
    <n v="508"/>
    <x v="54"/>
    <x v="3"/>
    <x v="4"/>
    <x v="0"/>
    <x v="4"/>
    <x v="2"/>
    <n v="222"/>
    <n v="397"/>
    <x v="507"/>
    <n v="320"/>
    <n v="71040"/>
    <n v="17094"/>
  </r>
  <r>
    <n v="509"/>
    <x v="270"/>
    <x v="2"/>
    <x v="11"/>
    <x v="1"/>
    <x v="9"/>
    <x v="1"/>
    <n v="287"/>
    <n v="1577"/>
    <x v="508"/>
    <n v="684"/>
    <n v="196308"/>
    <n v="256291"/>
  </r>
  <r>
    <n v="510"/>
    <x v="271"/>
    <x v="1"/>
    <x v="6"/>
    <x v="1"/>
    <x v="9"/>
    <x v="1"/>
    <n v="497"/>
    <n v="3536"/>
    <x v="509"/>
    <n v="2879"/>
    <n v="1430863"/>
    <n v="326529"/>
  </r>
  <r>
    <n v="511"/>
    <x v="10"/>
    <x v="1"/>
    <x v="14"/>
    <x v="1"/>
    <x v="9"/>
    <x v="1"/>
    <n v="39"/>
    <n v="2641"/>
    <x v="510"/>
    <n v="1697"/>
    <n v="66183"/>
    <n v="36816"/>
  </r>
  <r>
    <n v="512"/>
    <x v="169"/>
    <x v="3"/>
    <x v="8"/>
    <x v="3"/>
    <x v="8"/>
    <x v="2"/>
    <n v="202"/>
    <n v="1190"/>
    <x v="511"/>
    <n v="206"/>
    <n v="41612"/>
    <n v="198768"/>
  </r>
  <r>
    <n v="513"/>
    <x v="6"/>
    <x v="1"/>
    <x v="6"/>
    <x v="3"/>
    <x v="8"/>
    <x v="0"/>
    <n v="207"/>
    <n v="1142"/>
    <x v="512"/>
    <n v="375"/>
    <n v="77625"/>
    <n v="158769"/>
  </r>
  <r>
    <n v="514"/>
    <x v="272"/>
    <x v="3"/>
    <x v="8"/>
    <x v="2"/>
    <x v="6"/>
    <x v="2"/>
    <n v="257"/>
    <n v="436"/>
    <x v="513"/>
    <n v="308"/>
    <n v="79156"/>
    <n v="32896"/>
  </r>
  <r>
    <n v="515"/>
    <x v="233"/>
    <x v="1"/>
    <x v="14"/>
    <x v="1"/>
    <x v="3"/>
    <x v="0"/>
    <n v="61"/>
    <n v="2217"/>
    <x v="514"/>
    <n v="614"/>
    <n v="37454"/>
    <n v="97783"/>
  </r>
  <r>
    <n v="516"/>
    <x v="273"/>
    <x v="2"/>
    <x v="11"/>
    <x v="2"/>
    <x v="2"/>
    <x v="0"/>
    <n v="114"/>
    <n v="1366"/>
    <x v="515"/>
    <n v="864"/>
    <n v="98496"/>
    <n v="57228"/>
  </r>
  <r>
    <n v="517"/>
    <x v="107"/>
    <x v="1"/>
    <x v="6"/>
    <x v="2"/>
    <x v="6"/>
    <x v="2"/>
    <n v="10"/>
    <n v="4006"/>
    <x v="516"/>
    <n v="3497"/>
    <n v="34970"/>
    <n v="5090"/>
  </r>
  <r>
    <n v="518"/>
    <x v="186"/>
    <x v="2"/>
    <x v="5"/>
    <x v="0"/>
    <x v="0"/>
    <x v="2"/>
    <n v="316"/>
    <n v="2255"/>
    <x v="517"/>
    <n v="1657"/>
    <n v="523612"/>
    <n v="188968"/>
  </r>
  <r>
    <n v="519"/>
    <x v="274"/>
    <x v="2"/>
    <x v="5"/>
    <x v="1"/>
    <x v="9"/>
    <x v="1"/>
    <n v="298"/>
    <n v="772"/>
    <x v="518"/>
    <n v="407"/>
    <n v="121286"/>
    <n v="108770"/>
  </r>
  <r>
    <n v="520"/>
    <x v="275"/>
    <x v="3"/>
    <x v="4"/>
    <x v="0"/>
    <x v="0"/>
    <x v="0"/>
    <n v="153"/>
    <n v="3738"/>
    <x v="519"/>
    <n v="963"/>
    <n v="147339"/>
    <n v="424575"/>
  </r>
  <r>
    <n v="521"/>
    <x v="186"/>
    <x v="2"/>
    <x v="3"/>
    <x v="1"/>
    <x v="3"/>
    <x v="2"/>
    <n v="135"/>
    <n v="2834"/>
    <x v="520"/>
    <n v="1499"/>
    <n v="202365"/>
    <n v="180225"/>
  </r>
  <r>
    <n v="522"/>
    <x v="85"/>
    <x v="1"/>
    <x v="1"/>
    <x v="1"/>
    <x v="9"/>
    <x v="0"/>
    <n v="340"/>
    <n v="216"/>
    <x v="521"/>
    <n v="160"/>
    <n v="54400"/>
    <n v="19040"/>
  </r>
  <r>
    <n v="523"/>
    <x v="60"/>
    <x v="3"/>
    <x v="7"/>
    <x v="3"/>
    <x v="8"/>
    <x v="0"/>
    <n v="370"/>
    <n v="4205"/>
    <x v="522"/>
    <n v="3223"/>
    <n v="1192510"/>
    <n v="363340"/>
  </r>
  <r>
    <n v="524"/>
    <x v="167"/>
    <x v="0"/>
    <x v="0"/>
    <x v="0"/>
    <x v="11"/>
    <x v="1"/>
    <n v="237"/>
    <n v="1211"/>
    <x v="523"/>
    <n v="822"/>
    <n v="194814"/>
    <n v="92193"/>
  </r>
  <r>
    <n v="525"/>
    <x v="100"/>
    <x v="0"/>
    <x v="2"/>
    <x v="2"/>
    <x v="2"/>
    <x v="0"/>
    <n v="73"/>
    <n v="3990"/>
    <x v="524"/>
    <n v="1617"/>
    <n v="118041"/>
    <n v="173229"/>
  </r>
  <r>
    <n v="526"/>
    <x v="261"/>
    <x v="1"/>
    <x v="1"/>
    <x v="0"/>
    <x v="0"/>
    <x v="0"/>
    <n v="398"/>
    <n v="2503"/>
    <x v="525"/>
    <n v="1565"/>
    <n v="622870"/>
    <n v="373324"/>
  </r>
  <r>
    <n v="527"/>
    <x v="155"/>
    <x v="1"/>
    <x v="14"/>
    <x v="1"/>
    <x v="3"/>
    <x v="1"/>
    <n v="262"/>
    <n v="3173"/>
    <x v="526"/>
    <n v="250"/>
    <n v="65500"/>
    <n v="765826"/>
  </r>
  <r>
    <n v="528"/>
    <x v="276"/>
    <x v="2"/>
    <x v="11"/>
    <x v="3"/>
    <x v="7"/>
    <x v="1"/>
    <n v="212"/>
    <n v="1108"/>
    <x v="527"/>
    <n v="990"/>
    <n v="209880"/>
    <n v="25016"/>
  </r>
  <r>
    <n v="529"/>
    <x v="2"/>
    <x v="2"/>
    <x v="11"/>
    <x v="3"/>
    <x v="5"/>
    <x v="1"/>
    <n v="388"/>
    <n v="4834"/>
    <x v="528"/>
    <n v="4729"/>
    <n v="1834852"/>
    <n v="40740"/>
  </r>
  <r>
    <n v="530"/>
    <x v="277"/>
    <x v="1"/>
    <x v="14"/>
    <x v="3"/>
    <x v="5"/>
    <x v="1"/>
    <n v="142"/>
    <n v="4868"/>
    <x v="529"/>
    <n v="1967"/>
    <n v="279314"/>
    <n v="411942"/>
  </r>
  <r>
    <n v="531"/>
    <x v="269"/>
    <x v="2"/>
    <x v="5"/>
    <x v="0"/>
    <x v="11"/>
    <x v="0"/>
    <n v="324"/>
    <n v="2271"/>
    <x v="530"/>
    <n v="1959"/>
    <n v="634716"/>
    <n v="101088"/>
  </r>
  <r>
    <n v="532"/>
    <x v="278"/>
    <x v="3"/>
    <x v="4"/>
    <x v="0"/>
    <x v="4"/>
    <x v="2"/>
    <n v="150"/>
    <n v="1197"/>
    <x v="531"/>
    <n v="1055"/>
    <n v="158250"/>
    <n v="21300"/>
  </r>
  <r>
    <n v="533"/>
    <x v="86"/>
    <x v="0"/>
    <x v="2"/>
    <x v="0"/>
    <x v="11"/>
    <x v="1"/>
    <n v="152"/>
    <n v="3641"/>
    <x v="532"/>
    <n v="2280"/>
    <n v="346560"/>
    <n v="206872"/>
  </r>
  <r>
    <n v="534"/>
    <x v="123"/>
    <x v="0"/>
    <x v="2"/>
    <x v="0"/>
    <x v="4"/>
    <x v="1"/>
    <n v="51"/>
    <n v="4884"/>
    <x v="533"/>
    <n v="307"/>
    <n v="15657"/>
    <n v="233427"/>
  </r>
  <r>
    <n v="535"/>
    <x v="279"/>
    <x v="1"/>
    <x v="1"/>
    <x v="0"/>
    <x v="0"/>
    <x v="1"/>
    <n v="178"/>
    <n v="2746"/>
    <x v="534"/>
    <n v="357"/>
    <n v="63546"/>
    <n v="425242"/>
  </r>
  <r>
    <n v="536"/>
    <x v="166"/>
    <x v="3"/>
    <x v="7"/>
    <x v="2"/>
    <x v="10"/>
    <x v="1"/>
    <n v="418"/>
    <n v="2938"/>
    <x v="535"/>
    <n v="1125"/>
    <n v="470250"/>
    <n v="757834"/>
  </r>
  <r>
    <n v="537"/>
    <x v="147"/>
    <x v="1"/>
    <x v="14"/>
    <x v="2"/>
    <x v="2"/>
    <x v="2"/>
    <n v="430"/>
    <n v="2932"/>
    <x v="536"/>
    <n v="2228"/>
    <n v="958040"/>
    <n v="302720"/>
  </r>
  <r>
    <n v="538"/>
    <x v="280"/>
    <x v="1"/>
    <x v="14"/>
    <x v="2"/>
    <x v="2"/>
    <x v="0"/>
    <n v="306"/>
    <n v="1222"/>
    <x v="537"/>
    <n v="275"/>
    <n v="84150"/>
    <n v="289782"/>
  </r>
  <r>
    <n v="539"/>
    <x v="272"/>
    <x v="3"/>
    <x v="7"/>
    <x v="2"/>
    <x v="10"/>
    <x v="0"/>
    <n v="410"/>
    <n v="1244"/>
    <x v="538"/>
    <n v="226"/>
    <n v="92660"/>
    <n v="417380"/>
  </r>
  <r>
    <n v="540"/>
    <x v="281"/>
    <x v="0"/>
    <x v="0"/>
    <x v="1"/>
    <x v="3"/>
    <x v="0"/>
    <n v="43"/>
    <n v="1034"/>
    <x v="539"/>
    <n v="793"/>
    <n v="34099"/>
    <n v="10363"/>
  </r>
  <r>
    <n v="541"/>
    <x v="168"/>
    <x v="3"/>
    <x v="7"/>
    <x v="1"/>
    <x v="1"/>
    <x v="2"/>
    <n v="326"/>
    <n v="3567"/>
    <x v="540"/>
    <n v="1054"/>
    <n v="343604"/>
    <n v="819238"/>
  </r>
  <r>
    <n v="542"/>
    <x v="208"/>
    <x v="3"/>
    <x v="4"/>
    <x v="2"/>
    <x v="10"/>
    <x v="2"/>
    <n v="327"/>
    <n v="1029"/>
    <x v="541"/>
    <n v="447"/>
    <n v="146169"/>
    <n v="190314"/>
  </r>
  <r>
    <n v="543"/>
    <x v="5"/>
    <x v="3"/>
    <x v="4"/>
    <x v="1"/>
    <x v="3"/>
    <x v="1"/>
    <n v="62"/>
    <n v="300"/>
    <x v="542"/>
    <n v="117"/>
    <n v="7254"/>
    <n v="11346"/>
  </r>
  <r>
    <n v="544"/>
    <x v="50"/>
    <x v="1"/>
    <x v="6"/>
    <x v="1"/>
    <x v="1"/>
    <x v="2"/>
    <n v="381"/>
    <n v="3842"/>
    <x v="543"/>
    <n v="861"/>
    <n v="328041"/>
    <n v="1135761"/>
  </r>
  <r>
    <n v="545"/>
    <x v="282"/>
    <x v="1"/>
    <x v="6"/>
    <x v="0"/>
    <x v="0"/>
    <x v="1"/>
    <n v="309"/>
    <n v="3770"/>
    <x v="544"/>
    <n v="2201"/>
    <n v="680109"/>
    <n v="484821"/>
  </r>
  <r>
    <n v="546"/>
    <x v="150"/>
    <x v="2"/>
    <x v="3"/>
    <x v="3"/>
    <x v="7"/>
    <x v="2"/>
    <n v="318"/>
    <n v="3009"/>
    <x v="545"/>
    <n v="1292"/>
    <n v="410856"/>
    <n v="546006"/>
  </r>
  <r>
    <n v="547"/>
    <x v="72"/>
    <x v="2"/>
    <x v="15"/>
    <x v="3"/>
    <x v="7"/>
    <x v="1"/>
    <n v="429"/>
    <n v="4783"/>
    <x v="546"/>
    <n v="547"/>
    <n v="234663"/>
    <n v="1817244"/>
  </r>
  <r>
    <n v="548"/>
    <x v="113"/>
    <x v="0"/>
    <x v="2"/>
    <x v="3"/>
    <x v="7"/>
    <x v="0"/>
    <n v="412"/>
    <n v="760"/>
    <x v="547"/>
    <n v="449"/>
    <n v="184988"/>
    <n v="128132"/>
  </r>
  <r>
    <n v="549"/>
    <x v="29"/>
    <x v="1"/>
    <x v="1"/>
    <x v="2"/>
    <x v="6"/>
    <x v="0"/>
    <n v="446"/>
    <n v="4938"/>
    <x v="548"/>
    <n v="4737"/>
    <n v="2112702"/>
    <n v="89646"/>
  </r>
  <r>
    <n v="550"/>
    <x v="95"/>
    <x v="2"/>
    <x v="3"/>
    <x v="2"/>
    <x v="10"/>
    <x v="1"/>
    <n v="242"/>
    <n v="545"/>
    <x v="549"/>
    <n v="353"/>
    <n v="85426"/>
    <n v="46464"/>
  </r>
  <r>
    <n v="551"/>
    <x v="209"/>
    <x v="1"/>
    <x v="14"/>
    <x v="3"/>
    <x v="5"/>
    <x v="1"/>
    <n v="329"/>
    <n v="1946"/>
    <x v="550"/>
    <n v="589"/>
    <n v="193781"/>
    <n v="446453"/>
  </r>
  <r>
    <n v="552"/>
    <x v="142"/>
    <x v="0"/>
    <x v="2"/>
    <x v="2"/>
    <x v="2"/>
    <x v="2"/>
    <n v="432"/>
    <n v="255"/>
    <x v="551"/>
    <n v="146"/>
    <n v="63072"/>
    <n v="47088"/>
  </r>
  <r>
    <n v="553"/>
    <x v="260"/>
    <x v="3"/>
    <x v="7"/>
    <x v="1"/>
    <x v="9"/>
    <x v="0"/>
    <n v="82"/>
    <n v="2580"/>
    <x v="552"/>
    <n v="1903"/>
    <n v="156046"/>
    <n v="55514"/>
  </r>
  <r>
    <n v="554"/>
    <x v="108"/>
    <x v="1"/>
    <x v="13"/>
    <x v="0"/>
    <x v="0"/>
    <x v="1"/>
    <n v="155"/>
    <n v="1626"/>
    <x v="553"/>
    <n v="548"/>
    <n v="84940"/>
    <n v="167090"/>
  </r>
  <r>
    <n v="555"/>
    <x v="254"/>
    <x v="2"/>
    <x v="5"/>
    <x v="1"/>
    <x v="3"/>
    <x v="1"/>
    <n v="110"/>
    <n v="376"/>
    <x v="554"/>
    <n v="145"/>
    <n v="15950"/>
    <n v="25410"/>
  </r>
  <r>
    <n v="556"/>
    <x v="112"/>
    <x v="2"/>
    <x v="15"/>
    <x v="0"/>
    <x v="11"/>
    <x v="1"/>
    <n v="345"/>
    <n v="1109"/>
    <x v="555"/>
    <n v="446"/>
    <n v="153870"/>
    <n v="228735"/>
  </r>
  <r>
    <n v="557"/>
    <x v="283"/>
    <x v="1"/>
    <x v="13"/>
    <x v="2"/>
    <x v="2"/>
    <x v="2"/>
    <n v="348"/>
    <n v="1603"/>
    <x v="556"/>
    <n v="1179"/>
    <n v="410292"/>
    <n v="147552"/>
  </r>
  <r>
    <n v="558"/>
    <x v="284"/>
    <x v="0"/>
    <x v="0"/>
    <x v="0"/>
    <x v="0"/>
    <x v="1"/>
    <n v="108"/>
    <n v="4562"/>
    <x v="557"/>
    <n v="3198"/>
    <n v="345384"/>
    <n v="147312"/>
  </r>
  <r>
    <n v="559"/>
    <x v="3"/>
    <x v="2"/>
    <x v="3"/>
    <x v="2"/>
    <x v="6"/>
    <x v="1"/>
    <n v="400"/>
    <n v="1749"/>
    <x v="558"/>
    <n v="1196"/>
    <n v="478400"/>
    <n v="221200"/>
  </r>
  <r>
    <n v="560"/>
    <x v="87"/>
    <x v="2"/>
    <x v="5"/>
    <x v="1"/>
    <x v="9"/>
    <x v="1"/>
    <n v="417"/>
    <n v="2494"/>
    <x v="559"/>
    <n v="617"/>
    <n v="257289"/>
    <n v="782709"/>
  </r>
  <r>
    <n v="561"/>
    <x v="285"/>
    <x v="0"/>
    <x v="10"/>
    <x v="0"/>
    <x v="4"/>
    <x v="0"/>
    <n v="43"/>
    <n v="1571"/>
    <x v="560"/>
    <n v="1141"/>
    <n v="49063"/>
    <n v="18490"/>
  </r>
  <r>
    <n v="562"/>
    <x v="254"/>
    <x v="0"/>
    <x v="2"/>
    <x v="2"/>
    <x v="6"/>
    <x v="2"/>
    <n v="174"/>
    <n v="3262"/>
    <x v="561"/>
    <n v="2252"/>
    <n v="391848"/>
    <n v="175740"/>
  </r>
  <r>
    <n v="563"/>
    <x v="199"/>
    <x v="0"/>
    <x v="9"/>
    <x v="2"/>
    <x v="10"/>
    <x v="0"/>
    <n v="336"/>
    <n v="4983"/>
    <x v="562"/>
    <n v="399"/>
    <n v="134064"/>
    <n v="1540224"/>
  </r>
  <r>
    <n v="564"/>
    <x v="92"/>
    <x v="1"/>
    <x v="6"/>
    <x v="3"/>
    <x v="8"/>
    <x v="1"/>
    <n v="121"/>
    <n v="2706"/>
    <x v="563"/>
    <n v="1840"/>
    <n v="222640"/>
    <n v="104786"/>
  </r>
  <r>
    <n v="565"/>
    <x v="130"/>
    <x v="0"/>
    <x v="10"/>
    <x v="1"/>
    <x v="1"/>
    <x v="0"/>
    <n v="78"/>
    <n v="888"/>
    <x v="564"/>
    <n v="402"/>
    <n v="31356"/>
    <n v="37908"/>
  </r>
  <r>
    <n v="566"/>
    <x v="209"/>
    <x v="0"/>
    <x v="2"/>
    <x v="3"/>
    <x v="5"/>
    <x v="1"/>
    <n v="272"/>
    <n v="2955"/>
    <x v="565"/>
    <n v="1845"/>
    <n v="501840"/>
    <n v="301920"/>
  </r>
  <r>
    <n v="567"/>
    <x v="198"/>
    <x v="0"/>
    <x v="9"/>
    <x v="2"/>
    <x v="10"/>
    <x v="2"/>
    <n v="172"/>
    <n v="2436"/>
    <x v="566"/>
    <n v="1666"/>
    <n v="286552"/>
    <n v="132440"/>
  </r>
  <r>
    <n v="568"/>
    <x v="36"/>
    <x v="3"/>
    <x v="12"/>
    <x v="2"/>
    <x v="2"/>
    <x v="2"/>
    <n v="48"/>
    <n v="3141"/>
    <x v="567"/>
    <n v="437"/>
    <n v="20976"/>
    <n v="129792"/>
  </r>
  <r>
    <n v="569"/>
    <x v="51"/>
    <x v="2"/>
    <x v="15"/>
    <x v="1"/>
    <x v="9"/>
    <x v="1"/>
    <n v="46"/>
    <n v="3151"/>
    <x v="568"/>
    <n v="256"/>
    <n v="11776"/>
    <n v="133170"/>
  </r>
  <r>
    <n v="570"/>
    <x v="202"/>
    <x v="1"/>
    <x v="13"/>
    <x v="3"/>
    <x v="5"/>
    <x v="2"/>
    <n v="164"/>
    <n v="2448"/>
    <x v="569"/>
    <n v="880"/>
    <n v="144320"/>
    <n v="257152"/>
  </r>
  <r>
    <n v="571"/>
    <x v="110"/>
    <x v="1"/>
    <x v="13"/>
    <x v="0"/>
    <x v="4"/>
    <x v="2"/>
    <n v="410"/>
    <n v="3508"/>
    <x v="570"/>
    <n v="1761"/>
    <n v="722010"/>
    <n v="716270"/>
  </r>
  <r>
    <n v="572"/>
    <x v="98"/>
    <x v="3"/>
    <x v="4"/>
    <x v="3"/>
    <x v="8"/>
    <x v="1"/>
    <n v="380"/>
    <n v="1919"/>
    <x v="571"/>
    <n v="1071"/>
    <n v="406980"/>
    <n v="322240"/>
  </r>
  <r>
    <n v="573"/>
    <x v="286"/>
    <x v="1"/>
    <x v="1"/>
    <x v="2"/>
    <x v="10"/>
    <x v="1"/>
    <n v="443"/>
    <n v="1738"/>
    <x v="572"/>
    <n v="978"/>
    <n v="433254"/>
    <n v="336680"/>
  </r>
  <r>
    <n v="574"/>
    <x v="170"/>
    <x v="0"/>
    <x v="10"/>
    <x v="2"/>
    <x v="10"/>
    <x v="0"/>
    <n v="201"/>
    <n v="1338"/>
    <x v="573"/>
    <n v="1282"/>
    <n v="257682"/>
    <n v="11256"/>
  </r>
  <r>
    <n v="575"/>
    <x v="287"/>
    <x v="1"/>
    <x v="13"/>
    <x v="0"/>
    <x v="4"/>
    <x v="0"/>
    <n v="183"/>
    <n v="2047"/>
    <x v="574"/>
    <n v="958"/>
    <n v="175314"/>
    <n v="199287"/>
  </r>
  <r>
    <n v="576"/>
    <x v="93"/>
    <x v="0"/>
    <x v="9"/>
    <x v="1"/>
    <x v="1"/>
    <x v="0"/>
    <n v="300"/>
    <n v="463"/>
    <x v="575"/>
    <n v="171"/>
    <n v="51300"/>
    <n v="87600"/>
  </r>
  <r>
    <n v="577"/>
    <x v="193"/>
    <x v="1"/>
    <x v="13"/>
    <x v="2"/>
    <x v="10"/>
    <x v="1"/>
    <n v="42"/>
    <n v="4578"/>
    <x v="576"/>
    <n v="3265"/>
    <n v="137130"/>
    <n v="55146"/>
  </r>
  <r>
    <n v="578"/>
    <x v="288"/>
    <x v="1"/>
    <x v="1"/>
    <x v="0"/>
    <x v="4"/>
    <x v="0"/>
    <n v="337"/>
    <n v="2695"/>
    <x v="577"/>
    <n v="481"/>
    <n v="162097"/>
    <n v="746118"/>
  </r>
  <r>
    <n v="579"/>
    <x v="17"/>
    <x v="1"/>
    <x v="14"/>
    <x v="3"/>
    <x v="7"/>
    <x v="0"/>
    <n v="260"/>
    <n v="419"/>
    <x v="578"/>
    <n v="195"/>
    <n v="50700"/>
    <n v="58240"/>
  </r>
  <r>
    <n v="580"/>
    <x v="155"/>
    <x v="1"/>
    <x v="14"/>
    <x v="2"/>
    <x v="10"/>
    <x v="1"/>
    <n v="159"/>
    <n v="4495"/>
    <x v="579"/>
    <n v="673"/>
    <n v="107007"/>
    <n v="607698"/>
  </r>
  <r>
    <n v="581"/>
    <x v="247"/>
    <x v="0"/>
    <x v="0"/>
    <x v="1"/>
    <x v="3"/>
    <x v="1"/>
    <n v="177"/>
    <n v="3565"/>
    <x v="580"/>
    <n v="1701"/>
    <n v="301077"/>
    <n v="329928"/>
  </r>
  <r>
    <n v="582"/>
    <x v="259"/>
    <x v="1"/>
    <x v="14"/>
    <x v="3"/>
    <x v="5"/>
    <x v="2"/>
    <n v="390"/>
    <n v="763"/>
    <x v="581"/>
    <n v="498"/>
    <n v="194220"/>
    <n v="103350"/>
  </r>
  <r>
    <n v="583"/>
    <x v="289"/>
    <x v="1"/>
    <x v="6"/>
    <x v="3"/>
    <x v="8"/>
    <x v="2"/>
    <n v="350"/>
    <n v="4089"/>
    <x v="582"/>
    <n v="750"/>
    <n v="262500"/>
    <n v="1168650"/>
  </r>
  <r>
    <n v="584"/>
    <x v="27"/>
    <x v="2"/>
    <x v="5"/>
    <x v="2"/>
    <x v="10"/>
    <x v="1"/>
    <n v="83"/>
    <n v="3851"/>
    <x v="583"/>
    <n v="362"/>
    <n v="30046"/>
    <n v="289587"/>
  </r>
  <r>
    <n v="585"/>
    <x v="290"/>
    <x v="0"/>
    <x v="10"/>
    <x v="1"/>
    <x v="3"/>
    <x v="2"/>
    <n v="246"/>
    <n v="4919"/>
    <x v="584"/>
    <n v="420"/>
    <n v="103320"/>
    <n v="1106754"/>
  </r>
  <r>
    <n v="586"/>
    <x v="180"/>
    <x v="3"/>
    <x v="8"/>
    <x v="2"/>
    <x v="10"/>
    <x v="0"/>
    <n v="415"/>
    <n v="2636"/>
    <x v="585"/>
    <n v="1701"/>
    <n v="705915"/>
    <n v="388025"/>
  </r>
  <r>
    <n v="587"/>
    <x v="281"/>
    <x v="1"/>
    <x v="1"/>
    <x v="3"/>
    <x v="7"/>
    <x v="0"/>
    <n v="244"/>
    <n v="3351"/>
    <x v="586"/>
    <n v="2799"/>
    <n v="682956"/>
    <n v="134688"/>
  </r>
  <r>
    <n v="588"/>
    <x v="196"/>
    <x v="1"/>
    <x v="14"/>
    <x v="2"/>
    <x v="6"/>
    <x v="1"/>
    <n v="463"/>
    <n v="1493"/>
    <x v="587"/>
    <n v="660"/>
    <n v="305580"/>
    <n v="385679"/>
  </r>
  <r>
    <n v="589"/>
    <x v="200"/>
    <x v="2"/>
    <x v="15"/>
    <x v="3"/>
    <x v="8"/>
    <x v="2"/>
    <n v="72"/>
    <n v="3220"/>
    <x v="588"/>
    <n v="413"/>
    <n v="29736"/>
    <n v="202104"/>
  </r>
  <r>
    <n v="590"/>
    <x v="291"/>
    <x v="3"/>
    <x v="8"/>
    <x v="2"/>
    <x v="10"/>
    <x v="1"/>
    <n v="116"/>
    <n v="4345"/>
    <x v="589"/>
    <n v="465"/>
    <n v="53940"/>
    <n v="450080"/>
  </r>
  <r>
    <n v="591"/>
    <x v="233"/>
    <x v="0"/>
    <x v="0"/>
    <x v="0"/>
    <x v="11"/>
    <x v="0"/>
    <n v="393"/>
    <n v="3983"/>
    <x v="590"/>
    <n v="1661"/>
    <n v="652773"/>
    <n v="912546"/>
  </r>
  <r>
    <n v="592"/>
    <x v="292"/>
    <x v="2"/>
    <x v="11"/>
    <x v="3"/>
    <x v="8"/>
    <x v="1"/>
    <n v="138"/>
    <n v="1139"/>
    <x v="591"/>
    <n v="826"/>
    <n v="113988"/>
    <n v="43194"/>
  </r>
  <r>
    <n v="593"/>
    <x v="38"/>
    <x v="1"/>
    <x v="13"/>
    <x v="2"/>
    <x v="10"/>
    <x v="2"/>
    <n v="52"/>
    <n v="4692"/>
    <x v="592"/>
    <n v="2084"/>
    <n v="108368"/>
    <n v="135616"/>
  </r>
  <r>
    <n v="594"/>
    <x v="247"/>
    <x v="0"/>
    <x v="10"/>
    <x v="2"/>
    <x v="10"/>
    <x v="1"/>
    <n v="439"/>
    <n v="347"/>
    <x v="593"/>
    <n v="255"/>
    <n v="111945"/>
    <n v="40388"/>
  </r>
  <r>
    <n v="595"/>
    <x v="193"/>
    <x v="3"/>
    <x v="12"/>
    <x v="1"/>
    <x v="9"/>
    <x v="0"/>
    <n v="96"/>
    <n v="835"/>
    <x v="594"/>
    <n v="111"/>
    <n v="10656"/>
    <n v="69504"/>
  </r>
  <r>
    <n v="596"/>
    <x v="293"/>
    <x v="2"/>
    <x v="5"/>
    <x v="2"/>
    <x v="10"/>
    <x v="1"/>
    <n v="375"/>
    <n v="482"/>
    <x v="595"/>
    <n v="372"/>
    <n v="139500"/>
    <n v="41250"/>
  </r>
  <r>
    <n v="597"/>
    <x v="24"/>
    <x v="1"/>
    <x v="1"/>
    <x v="0"/>
    <x v="11"/>
    <x v="0"/>
    <n v="349"/>
    <n v="1042"/>
    <x v="596"/>
    <n v="499"/>
    <n v="174151"/>
    <n v="189507"/>
  </r>
  <r>
    <n v="598"/>
    <x v="86"/>
    <x v="2"/>
    <x v="11"/>
    <x v="0"/>
    <x v="11"/>
    <x v="1"/>
    <n v="405"/>
    <n v="3291"/>
    <x v="597"/>
    <n v="926"/>
    <n v="375030"/>
    <n v="957825"/>
  </r>
  <r>
    <n v="599"/>
    <x v="120"/>
    <x v="1"/>
    <x v="13"/>
    <x v="3"/>
    <x v="7"/>
    <x v="1"/>
    <n v="225"/>
    <n v="428"/>
    <x v="598"/>
    <n v="107"/>
    <n v="24075"/>
    <n v="72225"/>
  </r>
  <r>
    <n v="600"/>
    <x v="294"/>
    <x v="2"/>
    <x v="5"/>
    <x v="0"/>
    <x v="0"/>
    <x v="1"/>
    <n v="95"/>
    <n v="1568"/>
    <x v="599"/>
    <n v="190"/>
    <n v="18050"/>
    <n v="1309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109F7A-490A-4612-ADE5-24265390819B}" name="PivotTable1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B134"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axis="axisRow"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63B4B6-644A-44D3-A09B-4405906BE9C6}"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C97" firstHeaderRow="0"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axis="axisRow" showAll="0">
      <items count="13">
        <item x="10"/>
        <item x="0"/>
        <item x="5"/>
        <item x="8"/>
        <item x="7"/>
        <item x="1"/>
        <item x="9"/>
        <item x="11"/>
        <item x="6"/>
        <item x="2"/>
        <item x="4"/>
        <item x="3"/>
        <item t="default"/>
      </items>
    </pivotField>
    <pivotField showAll="0">
      <items count="4">
        <item x="0"/>
        <item x="2"/>
        <item x="1"/>
        <item t="default"/>
      </items>
    </pivotField>
    <pivotField showAll="0"/>
    <pivotField showAll="0"/>
    <pivotField dataField="1"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 fld="9"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CA453B-24BA-4912-AB7A-2C778645B2D8}"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5">
        <item x="0"/>
        <item sd="0" x="1"/>
        <item sd="0" x="2"/>
        <item x="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B06EED-76E3-4D54-B825-13A34B80580D}"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B55"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6"/>
  </rowFields>
  <rowItems count="4">
    <i>
      <x/>
    </i>
    <i>
      <x v="1"/>
    </i>
    <i>
      <x v="2"/>
    </i>
    <i t="grand">
      <x/>
    </i>
  </rowItems>
  <colItems count="1">
    <i/>
  </colItems>
  <dataFields count="1">
    <dataField name="Sum of Total_Sales" fld="9"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12EDC3-16EB-4251-B626-6380848C6140}"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B43"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EE7418-22F8-4881-A2BF-74020BD9DBAD}"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5:B78"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axis="axisRow" showAll="0" sortType="descending">
      <items count="13">
        <item x="10"/>
        <item x="0"/>
        <item x="5"/>
        <item x="8"/>
        <item x="7"/>
        <item x="1"/>
        <item x="9"/>
        <item x="11"/>
        <item x="6"/>
        <item x="2"/>
        <item x="4"/>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5"/>
  </rowFields>
  <rowItems count="13">
    <i>
      <x v="2"/>
    </i>
    <i>
      <x v="11"/>
    </i>
    <i>
      <x/>
    </i>
    <i>
      <x v="5"/>
    </i>
    <i>
      <x v="1"/>
    </i>
    <i>
      <x v="8"/>
    </i>
    <i>
      <x v="6"/>
    </i>
    <i>
      <x v="9"/>
    </i>
    <i>
      <x v="4"/>
    </i>
    <i>
      <x v="7"/>
    </i>
    <i>
      <x v="3"/>
    </i>
    <i>
      <x v="10"/>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58E393-5604-40C9-B01A-17B58EF728A7}"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B27"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axis="axisRow"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245707-8B5F-4EC5-B82B-DB44BE7F23C9}"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C95"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axis="axisRow" showAll="0">
      <items count="5">
        <item x="2"/>
        <item x="0"/>
        <item x="3"/>
        <item x="1"/>
        <item t="default"/>
      </items>
    </pivotField>
    <pivotField showAll="0">
      <items count="13">
        <item x="10"/>
        <item x="0"/>
        <item x="5"/>
        <item x="8"/>
        <item x="7"/>
        <item x="1"/>
        <item x="9"/>
        <item x="11"/>
        <item x="6"/>
        <item x="2"/>
        <item x="4"/>
        <item x="3"/>
        <item t="default"/>
      </items>
    </pivotField>
    <pivotField showAll="0">
      <items count="4">
        <item x="0"/>
        <item x="2"/>
        <item x="1"/>
        <item t="default"/>
      </items>
    </pivotField>
    <pivotField showAll="0"/>
    <pivotField showAll="0"/>
    <pivotField dataField="1" showAll="0"/>
    <pivotField showAll="0"/>
    <pivotField showAll="0"/>
    <pivotField showAl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Total_Sales" fld="9"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8D65D7-6559-4E95-8B8C-5EC73356006B}"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74:C87"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axis="axisRow" showAll="0" sortType="ascending">
      <items count="13">
        <item x="10"/>
        <item x="0"/>
        <item x="5"/>
        <item x="8"/>
        <item x="7"/>
        <item x="1"/>
        <item x="9"/>
        <item x="11"/>
        <item x="6"/>
        <item x="2"/>
        <item x="4"/>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5"/>
  </rowFields>
  <rowItems count="13">
    <i>
      <x v="7"/>
    </i>
    <i>
      <x v="4"/>
    </i>
    <i>
      <x v="3"/>
    </i>
    <i>
      <x v="6"/>
    </i>
    <i>
      <x v="10"/>
    </i>
    <i>
      <x v="2"/>
    </i>
    <i>
      <x v="1"/>
    </i>
    <i>
      <x v="9"/>
    </i>
    <i>
      <x v="8"/>
    </i>
    <i>
      <x v="5"/>
    </i>
    <i>
      <x v="11"/>
    </i>
    <i>
      <x/>
    </i>
    <i t="grand">
      <x/>
    </i>
  </rowItems>
  <colItems count="1">
    <i/>
  </colItems>
  <dataFields count="1">
    <dataField name="Count of Units_Sold" fld="7" subtotal="count"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A298AD-BF92-47C5-A664-6F2CBE8ABA58}"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2:C67"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axis="axisRow" showAll="0">
      <items count="5">
        <item x="2"/>
        <item x="0"/>
        <item x="3"/>
        <item x="1"/>
        <item t="default"/>
      </items>
    </pivotField>
    <pivotField dataField="1" showAll="0">
      <items count="13">
        <item x="10"/>
        <item x="0"/>
        <item x="5"/>
        <item x="8"/>
        <item x="7"/>
        <item x="1"/>
        <item x="9"/>
        <item x="11"/>
        <item x="6"/>
        <item x="2"/>
        <item x="4"/>
        <item x="3"/>
        <item t="default"/>
      </items>
    </pivotField>
    <pivotField showAll="0">
      <items count="4">
        <item x="0"/>
        <item x="2"/>
        <item x="1"/>
        <item t="default"/>
      </items>
    </pivotField>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Count of Product_Name" fld="5"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503696-105A-4F07-9EFB-E5C5E64E76AA}"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6:C59"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items count="13">
        <item x="10"/>
        <item x="0"/>
        <item x="5"/>
        <item x="8"/>
        <item x="7"/>
        <item x="1"/>
        <item x="9"/>
        <item x="11"/>
        <item x="6"/>
        <item x="2"/>
        <item x="4"/>
        <item x="3"/>
        <item t="default"/>
      </items>
    </pivotField>
    <pivotField showAll="0">
      <items count="4">
        <item x="0"/>
        <item x="2"/>
        <item x="1"/>
        <item t="default"/>
      </items>
    </pivotField>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41B789-146A-47EF-B677-E5AC78CF779A}"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0:C43"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axis="axisRow" showAll="0" sortType="descending">
      <items count="13">
        <item x="10"/>
        <item x="0"/>
        <item x="5"/>
        <item x="8"/>
        <item x="7"/>
        <item x="1"/>
        <item x="9"/>
        <item x="11"/>
        <item x="6"/>
        <item x="2"/>
        <item x="4"/>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5"/>
  </rowFields>
  <rowItems count="13">
    <i>
      <x v="2"/>
    </i>
    <i>
      <x/>
    </i>
    <i>
      <x v="5"/>
    </i>
    <i>
      <x v="11"/>
    </i>
    <i>
      <x v="1"/>
    </i>
    <i>
      <x v="8"/>
    </i>
    <i>
      <x v="6"/>
    </i>
    <i>
      <x v="4"/>
    </i>
    <i>
      <x v="9"/>
    </i>
    <i>
      <x v="10"/>
    </i>
    <i>
      <x v="7"/>
    </i>
    <i>
      <x v="3"/>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4978A0-EDE3-4A62-A912-33A4A1725A96}"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2:F27"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axis="axisRow" showAll="0">
      <items count="5">
        <item x="2"/>
        <item x="0"/>
        <item x="3"/>
        <item x="1"/>
        <item t="default"/>
      </items>
    </pivotField>
    <pivotField showAll="0">
      <items count="13">
        <item x="10"/>
        <item x="0"/>
        <item x="5"/>
        <item x="8"/>
        <item x="7"/>
        <item x="1"/>
        <item x="9"/>
        <item x="11"/>
        <item x="6"/>
        <item x="2"/>
        <item x="4"/>
        <item x="3"/>
        <item t="default"/>
      </items>
    </pivotField>
    <pivotField showAll="0">
      <items count="4">
        <item x="0"/>
        <item x="2"/>
        <item x="1"/>
        <item t="default"/>
      </items>
    </pivotField>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8DA3F0-6759-4FE5-A26C-8A68A9596ADC}" name="PivotTable1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4:B111"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axis="axisRow" showAll="0" sortType="descending">
      <items count="17">
        <item x="3"/>
        <item x="7"/>
        <item x="9"/>
        <item x="0"/>
        <item x="8"/>
        <item x="11"/>
        <item x="6"/>
        <item x="2"/>
        <item x="14"/>
        <item x="5"/>
        <item x="12"/>
        <item x="10"/>
        <item x="13"/>
        <item x="1"/>
        <item x="4"/>
        <item x="15"/>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defaultSubtotal="0"/>
    <pivotField showAll="0" defaultSubtotal="0">
      <items count="4">
        <item x="0"/>
        <item x="1"/>
        <item x="2"/>
        <item x="3"/>
      </items>
    </pivotField>
  </pivotFields>
  <rowFields count="1">
    <field x="3"/>
  </rowFields>
  <rowItems count="17">
    <i>
      <x v="13"/>
    </i>
    <i>
      <x v="8"/>
    </i>
    <i>
      <x v="14"/>
    </i>
    <i>
      <x v="2"/>
    </i>
    <i>
      <x v="4"/>
    </i>
    <i>
      <x v="6"/>
    </i>
    <i>
      <x v="3"/>
    </i>
    <i>
      <x v="7"/>
    </i>
    <i>
      <x v="12"/>
    </i>
    <i>
      <x v="9"/>
    </i>
    <i>
      <x v="1"/>
    </i>
    <i>
      <x v="5"/>
    </i>
    <i>
      <x/>
    </i>
    <i>
      <x v="11"/>
    </i>
    <i>
      <x v="15"/>
    </i>
    <i>
      <x v="10"/>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07ACC49-887C-4433-867D-931A3D036A3E}"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0:E86" firstHeaderRow="1" firstDataRow="2"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axis="axisRow"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axis="axisCol" showAll="0">
      <items count="4">
        <item x="0"/>
        <item x="2"/>
        <item x="1"/>
        <item t="default"/>
      </items>
    </pivotField>
    <pivotField showAll="0"/>
    <pivotField showAll="0"/>
    <pivotField dataField="1" showAll="0"/>
    <pivotField showAll="0"/>
    <pivotField showAll="0"/>
    <pivotField showAll="0"/>
    <pivotField showAll="0" defaultSubtotal="0"/>
    <pivotField showAll="0" defaultSubtotal="0">
      <items count="4">
        <item x="0"/>
        <item x="1"/>
        <item x="2"/>
        <item x="3"/>
      </items>
    </pivotField>
  </pivotFields>
  <rowFields count="1">
    <field x="2"/>
  </rowFields>
  <rowItems count="5">
    <i>
      <x/>
    </i>
    <i>
      <x v="1"/>
    </i>
    <i>
      <x v="2"/>
    </i>
    <i>
      <x v="3"/>
    </i>
    <i t="grand">
      <x/>
    </i>
  </rowItems>
  <colFields count="1">
    <field x="6"/>
  </colFields>
  <colItems count="4">
    <i>
      <x/>
    </i>
    <i>
      <x v="1"/>
    </i>
    <i>
      <x v="2"/>
    </i>
    <i t="grand">
      <x/>
    </i>
  </colItems>
  <dataFields count="1">
    <dataField name="Sum of Total_Sales" fld="9"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A672B87-D7DD-40C7-A5C8-57AD7DEBF46D}"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B76"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showAll="0">
      <items count="5">
        <item x="2"/>
        <item x="3"/>
        <item x="1"/>
        <item x="0"/>
        <item t="default"/>
      </items>
    </pivotField>
    <pivotField axis="axisRow"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defaultSubtotal="0"/>
    <pivotField showAll="0" defaultSubtotal="0">
      <items count="4">
        <item x="0"/>
        <item x="1"/>
        <item x="2"/>
        <item x="3"/>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Total_Sales" fld="9" baseField="0" baseItem="0"/>
  </dataFields>
  <chartFormats count="18">
    <chartFormat chart="1" format="0"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3" count="1" selected="0">
            <x v="0"/>
          </reference>
        </references>
      </pivotArea>
    </chartFormat>
    <chartFormat chart="3" format="20">
      <pivotArea type="data" outline="0" fieldPosition="0">
        <references count="2">
          <reference field="4294967294" count="1" selected="0">
            <x v="0"/>
          </reference>
          <reference field="3" count="1" selected="0">
            <x v="1"/>
          </reference>
        </references>
      </pivotArea>
    </chartFormat>
    <chartFormat chart="3" format="21">
      <pivotArea type="data" outline="0" fieldPosition="0">
        <references count="2">
          <reference field="4294967294" count="1" selected="0">
            <x v="0"/>
          </reference>
          <reference field="3" count="1" selected="0">
            <x v="2"/>
          </reference>
        </references>
      </pivotArea>
    </chartFormat>
    <chartFormat chart="3" format="22">
      <pivotArea type="data" outline="0" fieldPosition="0">
        <references count="2">
          <reference field="4294967294" count="1" selected="0">
            <x v="0"/>
          </reference>
          <reference field="3" count="1" selected="0">
            <x v="3"/>
          </reference>
        </references>
      </pivotArea>
    </chartFormat>
    <chartFormat chart="3" format="23">
      <pivotArea type="data" outline="0" fieldPosition="0">
        <references count="2">
          <reference field="4294967294" count="1" selected="0">
            <x v="0"/>
          </reference>
          <reference field="3" count="1" selected="0">
            <x v="4"/>
          </reference>
        </references>
      </pivotArea>
    </chartFormat>
    <chartFormat chart="3" format="24">
      <pivotArea type="data" outline="0" fieldPosition="0">
        <references count="2">
          <reference field="4294967294" count="1" selected="0">
            <x v="0"/>
          </reference>
          <reference field="3" count="1" selected="0">
            <x v="5"/>
          </reference>
        </references>
      </pivotArea>
    </chartFormat>
    <chartFormat chart="3" format="25">
      <pivotArea type="data" outline="0" fieldPosition="0">
        <references count="2">
          <reference field="4294967294" count="1" selected="0">
            <x v="0"/>
          </reference>
          <reference field="3" count="1" selected="0">
            <x v="6"/>
          </reference>
        </references>
      </pivotArea>
    </chartFormat>
    <chartFormat chart="3" format="26">
      <pivotArea type="data" outline="0" fieldPosition="0">
        <references count="2">
          <reference field="4294967294" count="1" selected="0">
            <x v="0"/>
          </reference>
          <reference field="3" count="1" selected="0">
            <x v="7"/>
          </reference>
        </references>
      </pivotArea>
    </chartFormat>
    <chartFormat chart="3" format="27">
      <pivotArea type="data" outline="0" fieldPosition="0">
        <references count="2">
          <reference field="4294967294" count="1" selected="0">
            <x v="0"/>
          </reference>
          <reference field="3" count="1" selected="0">
            <x v="8"/>
          </reference>
        </references>
      </pivotArea>
    </chartFormat>
    <chartFormat chart="3" format="28">
      <pivotArea type="data" outline="0" fieldPosition="0">
        <references count="2">
          <reference field="4294967294" count="1" selected="0">
            <x v="0"/>
          </reference>
          <reference field="3" count="1" selected="0">
            <x v="9"/>
          </reference>
        </references>
      </pivotArea>
    </chartFormat>
    <chartFormat chart="3" format="29">
      <pivotArea type="data" outline="0" fieldPosition="0">
        <references count="2">
          <reference field="4294967294" count="1" selected="0">
            <x v="0"/>
          </reference>
          <reference field="3" count="1" selected="0">
            <x v="10"/>
          </reference>
        </references>
      </pivotArea>
    </chartFormat>
    <chartFormat chart="3" format="30">
      <pivotArea type="data" outline="0" fieldPosition="0">
        <references count="2">
          <reference field="4294967294" count="1" selected="0">
            <x v="0"/>
          </reference>
          <reference field="3" count="1" selected="0">
            <x v="11"/>
          </reference>
        </references>
      </pivotArea>
    </chartFormat>
    <chartFormat chart="3" format="31">
      <pivotArea type="data" outline="0" fieldPosition="0">
        <references count="2">
          <reference field="4294967294" count="1" selected="0">
            <x v="0"/>
          </reference>
          <reference field="3" count="1" selected="0">
            <x v="12"/>
          </reference>
        </references>
      </pivotArea>
    </chartFormat>
    <chartFormat chart="3" format="32">
      <pivotArea type="data" outline="0" fieldPosition="0">
        <references count="2">
          <reference field="4294967294" count="1" selected="0">
            <x v="0"/>
          </reference>
          <reference field="3" count="1" selected="0">
            <x v="13"/>
          </reference>
        </references>
      </pivotArea>
    </chartFormat>
    <chartFormat chart="3" format="33">
      <pivotArea type="data" outline="0" fieldPosition="0">
        <references count="2">
          <reference field="4294967294" count="1" selected="0">
            <x v="0"/>
          </reference>
          <reference field="3" count="1" selected="0">
            <x v="14"/>
          </reference>
        </references>
      </pivotArea>
    </chartFormat>
    <chartFormat chart="3" format="34">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46F5B7-6B8D-43D1-93E5-102DF461530B}"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F55" firstHeaderRow="1" firstDataRow="2"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axis="axisCol" showAll="0">
      <items count="5">
        <item x="2"/>
        <item x="3"/>
        <item x="1"/>
        <item x="0"/>
        <item t="default"/>
      </items>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3"/>
  </rowFields>
  <rowItems count="13">
    <i>
      <x v="1"/>
    </i>
    <i>
      <x v="2"/>
    </i>
    <i>
      <x v="3"/>
    </i>
    <i>
      <x v="4"/>
    </i>
    <i>
      <x v="5"/>
    </i>
    <i>
      <x v="6"/>
    </i>
    <i>
      <x v="7"/>
    </i>
    <i>
      <x v="8"/>
    </i>
    <i>
      <x v="9"/>
    </i>
    <i>
      <x v="10"/>
    </i>
    <i>
      <x v="11"/>
    </i>
    <i>
      <x v="12"/>
    </i>
    <i t="grand">
      <x/>
    </i>
  </rowItems>
  <colFields count="1">
    <field x="2"/>
  </colFields>
  <colItems count="5">
    <i>
      <x/>
    </i>
    <i>
      <x v="1"/>
    </i>
    <i>
      <x v="2"/>
    </i>
    <i>
      <x v="3"/>
    </i>
    <i t="grand">
      <x/>
    </i>
  </colItems>
  <dataFields count="1">
    <dataField name="Sum of Total_Sales" fld="9"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FF21D3B-E140-4708-ADE8-D076D39355FF}"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B33"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2"/>
  </rowFields>
  <rowItems count="5">
    <i>
      <x v="2"/>
    </i>
    <i>
      <x v="3"/>
    </i>
    <i>
      <x v="1"/>
    </i>
    <i>
      <x/>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A267310-AF24-4718-A328-17064C3F1C0D}"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3" firstHeaderRow="1" firstDataRow="1" firstDataCol="1"/>
  <pivotFields count="15">
    <pivotField showAll="0"/>
    <pivotField numFmtId="164" showAll="0">
      <items count="296">
        <item x="69"/>
        <item x="222"/>
        <item x="41"/>
        <item x="27"/>
        <item x="100"/>
        <item x="292"/>
        <item x="16"/>
        <item x="205"/>
        <item x="120"/>
        <item x="261"/>
        <item x="93"/>
        <item x="149"/>
        <item x="235"/>
        <item x="170"/>
        <item x="204"/>
        <item x="107"/>
        <item x="3"/>
        <item x="86"/>
        <item x="125"/>
        <item x="262"/>
        <item x="147"/>
        <item x="152"/>
        <item x="115"/>
        <item x="192"/>
        <item x="236"/>
        <item x="47"/>
        <item x="272"/>
        <item x="38"/>
        <item x="57"/>
        <item x="105"/>
        <item x="42"/>
        <item x="151"/>
        <item x="194"/>
        <item x="241"/>
        <item x="130"/>
        <item x="128"/>
        <item x="267"/>
        <item x="106"/>
        <item x="168"/>
        <item x="270"/>
        <item x="94"/>
        <item x="95"/>
        <item x="12"/>
        <item x="5"/>
        <item x="131"/>
        <item x="148"/>
        <item x="260"/>
        <item x="160"/>
        <item x="51"/>
        <item x="265"/>
        <item x="217"/>
        <item x="277"/>
        <item x="214"/>
        <item x="85"/>
        <item x="126"/>
        <item x="9"/>
        <item x="242"/>
        <item x="90"/>
        <item x="240"/>
        <item x="159"/>
        <item x="103"/>
        <item x="163"/>
        <item x="111"/>
        <item x="136"/>
        <item x="91"/>
        <item x="279"/>
        <item x="183"/>
        <item x="246"/>
        <item x="247"/>
        <item x="97"/>
        <item x="254"/>
        <item x="54"/>
        <item x="142"/>
        <item x="83"/>
        <item x="284"/>
        <item x="266"/>
        <item x="37"/>
        <item x="4"/>
        <item x="108"/>
        <item x="70"/>
        <item x="113"/>
        <item x="210"/>
        <item x="239"/>
        <item x="132"/>
        <item x="232"/>
        <item x="293"/>
        <item x="23"/>
        <item x="206"/>
        <item x="1"/>
        <item x="71"/>
        <item x="98"/>
        <item x="79"/>
        <item x="155"/>
        <item x="201"/>
        <item x="161"/>
        <item x="196"/>
        <item x="187"/>
        <item x="173"/>
        <item x="145"/>
        <item x="243"/>
        <item x="249"/>
        <item x="202"/>
        <item x="291"/>
        <item x="119"/>
        <item x="169"/>
        <item x="43"/>
        <item x="251"/>
        <item x="78"/>
        <item x="134"/>
        <item x="186"/>
        <item x="154"/>
        <item x="137"/>
        <item x="234"/>
        <item x="228"/>
        <item x="61"/>
        <item x="13"/>
        <item x="15"/>
        <item x="44"/>
        <item x="34"/>
        <item x="156"/>
        <item x="32"/>
        <item x="99"/>
        <item x="245"/>
        <item x="271"/>
        <item x="150"/>
        <item x="282"/>
        <item x="286"/>
        <item x="21"/>
        <item x="211"/>
        <item x="20"/>
        <item x="96"/>
        <item x="215"/>
        <item x="40"/>
        <item x="29"/>
        <item x="207"/>
        <item x="123"/>
        <item x="237"/>
        <item x="64"/>
        <item x="138"/>
        <item x="77"/>
        <item x="212"/>
        <item x="110"/>
        <item x="171"/>
        <item x="189"/>
        <item x="11"/>
        <item x="287"/>
        <item x="14"/>
        <item x="224"/>
        <item x="213"/>
        <item x="218"/>
        <item x="283"/>
        <item x="162"/>
        <item x="190"/>
        <item x="112"/>
        <item x="75"/>
        <item x="179"/>
        <item x="256"/>
        <item x="185"/>
        <item x="193"/>
        <item x="82"/>
        <item x="92"/>
        <item x="199"/>
        <item x="22"/>
        <item x="31"/>
        <item x="278"/>
        <item x="62"/>
        <item x="141"/>
        <item x="143"/>
        <item x="221"/>
        <item x="8"/>
        <item x="101"/>
        <item x="220"/>
        <item x="153"/>
        <item x="248"/>
        <item x="281"/>
        <item x="257"/>
        <item x="67"/>
        <item x="146"/>
        <item x="175"/>
        <item x="280"/>
        <item x="288"/>
        <item x="48"/>
        <item x="216"/>
        <item x="74"/>
        <item x="290"/>
        <item x="225"/>
        <item x="104"/>
        <item x="209"/>
        <item x="182"/>
        <item x="65"/>
        <item x="33"/>
        <item x="268"/>
        <item x="259"/>
        <item x="52"/>
        <item x="50"/>
        <item x="203"/>
        <item x="177"/>
        <item x="144"/>
        <item x="223"/>
        <item x="80"/>
        <item x="252"/>
        <item x="198"/>
        <item x="84"/>
        <item x="273"/>
        <item x="229"/>
        <item x="6"/>
        <item x="72"/>
        <item x="135"/>
        <item x="89"/>
        <item x="18"/>
        <item x="68"/>
        <item x="116"/>
        <item x="165"/>
        <item x="197"/>
        <item x="127"/>
        <item x="114"/>
        <item x="59"/>
        <item x="269"/>
        <item x="274"/>
        <item x="76"/>
        <item x="73"/>
        <item x="25"/>
        <item x="176"/>
        <item x="200"/>
        <item x="275"/>
        <item x="88"/>
        <item x="63"/>
        <item x="219"/>
        <item x="46"/>
        <item x="238"/>
        <item x="157"/>
        <item x="121"/>
        <item x="53"/>
        <item x="30"/>
        <item x="81"/>
        <item x="49"/>
        <item x="109"/>
        <item x="19"/>
        <item x="231"/>
        <item x="174"/>
        <item x="166"/>
        <item x="129"/>
        <item x="35"/>
        <item x="250"/>
        <item x="58"/>
        <item x="17"/>
        <item x="178"/>
        <item x="55"/>
        <item x="66"/>
        <item x="263"/>
        <item x="139"/>
        <item x="285"/>
        <item x="0"/>
        <item x="208"/>
        <item x="102"/>
        <item x="56"/>
        <item x="227"/>
        <item x="87"/>
        <item x="195"/>
        <item x="118"/>
        <item x="226"/>
        <item x="276"/>
        <item x="24"/>
        <item x="244"/>
        <item x="36"/>
        <item x="258"/>
        <item x="172"/>
        <item x="26"/>
        <item x="39"/>
        <item x="117"/>
        <item x="2"/>
        <item x="191"/>
        <item x="45"/>
        <item x="294"/>
        <item x="133"/>
        <item x="167"/>
        <item x="188"/>
        <item x="233"/>
        <item x="164"/>
        <item x="158"/>
        <item x="264"/>
        <item x="255"/>
        <item x="140"/>
        <item x="122"/>
        <item x="7"/>
        <item x="230"/>
        <item x="60"/>
        <item x="124"/>
        <item x="184"/>
        <item x="28"/>
        <item x="181"/>
        <item x="253"/>
        <item x="289"/>
        <item x="180"/>
        <item x="10"/>
        <item t="default"/>
      </items>
    </pivotField>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7">
        <item x="3"/>
        <item x="7"/>
        <item x="9"/>
        <item x="0"/>
        <item x="8"/>
        <item x="11"/>
        <item x="6"/>
        <item x="2"/>
        <item x="14"/>
        <item x="5"/>
        <item x="12"/>
        <item x="10"/>
        <item x="13"/>
        <item x="1"/>
        <item x="4"/>
        <item x="15"/>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defaultSubtotal="0"/>
    <pivotField showAll="0" defaultSubtotal="0">
      <items count="4">
        <item x="0"/>
        <item x="1"/>
        <item x="2"/>
        <item x="3"/>
      </items>
    </pivotField>
  </pivotFields>
  <rowFields count="1">
    <field x="2"/>
  </rowFields>
  <rowItems count="5">
    <i>
      <x/>
    </i>
    <i>
      <x v="1"/>
    </i>
    <i>
      <x v="3"/>
    </i>
    <i>
      <x v="2"/>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F9624B-CA17-4163-A552-7946DF6C6D2C}" sourceName="Region">
  <pivotTables>
    <pivotTable tabId="5" name="PivotTable2"/>
    <pivotTable tabId="5" name="PivotTable1"/>
    <pivotTable tabId="5" name="PivotTable19"/>
    <pivotTable tabId="5" name="PivotTable3"/>
    <pivotTable tabId="5" name="PivotTable4"/>
    <pivotTable tabId="5" name="PivotTable5"/>
    <pivotTable tabId="5" name="PivotTable6"/>
  </pivotTables>
  <data>
    <tabular pivotCacheId="9030003">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48505B9-D732-4BE4-9B29-DB48752E2CD8}" sourceName="State">
  <pivotTables>
    <pivotTable tabId="5" name="PivotTable2"/>
    <pivotTable tabId="5" name="PivotTable1"/>
    <pivotTable tabId="5" name="PivotTable19"/>
    <pivotTable tabId="5" name="PivotTable3"/>
    <pivotTable tabId="5" name="PivotTable4"/>
    <pivotTable tabId="5" name="PivotTable5"/>
    <pivotTable tabId="5" name="PivotTable6"/>
  </pivotTables>
  <data>
    <tabular pivotCacheId="9030003">
      <items count="16">
        <i x="3" s="1"/>
        <i x="7" s="1"/>
        <i x="9" s="1"/>
        <i x="0" s="1"/>
        <i x="8" s="1"/>
        <i x="11" s="1"/>
        <i x="6" s="1"/>
        <i x="2" s="1"/>
        <i x="14" s="1"/>
        <i x="5" s="1"/>
        <i x="12" s="1"/>
        <i x="10" s="1"/>
        <i x="13" s="1"/>
        <i x="1"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D6BB613-16DB-42D7-9474-0FDDCF521D3F}" sourceName="Product_Category">
  <pivotTables>
    <pivotTable tabId="5" name="PivotTable2"/>
    <pivotTable tabId="5" name="PivotTable1"/>
    <pivotTable tabId="5" name="PivotTable19"/>
    <pivotTable tabId="5" name="PivotTable3"/>
    <pivotTable tabId="5" name="PivotTable4"/>
    <pivotTable tabId="5" name="PivotTable5"/>
    <pivotTable tabId="5" name="PivotTable6"/>
  </pivotTables>
  <data>
    <tabular pivotCacheId="9030003">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574DE09-BBF7-4386-9353-26227F8C7B7C}" sourceName="Sales_Channel">
  <pivotTables>
    <pivotTable tabId="5" name="PivotTable2"/>
    <pivotTable tabId="5" name="PivotTable1"/>
    <pivotTable tabId="5" name="PivotTable19"/>
    <pivotTable tabId="5" name="PivotTable3"/>
    <pivotTable tabId="5" name="PivotTable4"/>
    <pivotTable tabId="5" name="PivotTable5"/>
    <pivotTable tabId="5" name="PivotTable6"/>
  </pivotTables>
  <data>
    <tabular pivotCacheId="9030003">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3636D64-4D9C-4E3F-BF2A-23AEE0E2D3E0}" sourceName="Months (Order_Date)">
  <pivotTables>
    <pivotTable tabId="5" name="PivotTable2"/>
    <pivotTable tabId="5" name="PivotTable1"/>
    <pivotTable tabId="5" name="PivotTable19"/>
    <pivotTable tabId="5" name="PivotTable3"/>
    <pivotTable tabId="5" name="PivotTable4"/>
    <pivotTable tabId="5" name="PivotTable5"/>
    <pivotTable tabId="5" name="PivotTable6"/>
  </pivotTables>
  <data>
    <tabular pivotCacheId="9030003">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DF9A536-8DB3-4814-A1AD-56BEB5FB59DB}" sourceName="Region">
  <pivotTables>
    <pivotTable tabId="3" name="PivotTable2"/>
    <pivotTable tabId="3" name="PivotTable1"/>
    <pivotTable tabId="3" name="PivotTable3"/>
    <pivotTable tabId="3" name="PivotTable4"/>
    <pivotTable tabId="3" name="PivotTable5"/>
    <pivotTable tabId="3" name="PivotTable6"/>
  </pivotTables>
  <data>
    <tabular pivotCacheId="9030003">
      <items count="4">
        <i x="2" s="1"/>
        <i x="3"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3595AE4-25D1-4CBD-8390-D76552B04341}" sourceName="State">
  <pivotTables>
    <pivotTable tabId="3" name="PivotTable2"/>
    <pivotTable tabId="3" name="PivotTable1"/>
    <pivotTable tabId="3" name="PivotTable3"/>
    <pivotTable tabId="3" name="PivotTable4"/>
    <pivotTable tabId="3" name="PivotTable5"/>
    <pivotTable tabId="3" name="PivotTable6"/>
  </pivotTables>
  <data>
    <tabular pivotCacheId="9030003">
      <items count="16">
        <i x="3" s="1"/>
        <i x="7" s="1"/>
        <i x="9" s="1"/>
        <i x="0" s="1"/>
        <i x="8" s="1"/>
        <i x="11" s="1"/>
        <i x="6" s="1"/>
        <i x="2" s="1"/>
        <i x="14" s="1"/>
        <i x="5" s="1"/>
        <i x="12" s="1"/>
        <i x="10" s="1"/>
        <i x="13" s="1"/>
        <i x="1" s="1"/>
        <i x="4" s="1"/>
        <i x="1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536344E9-ED9F-403F-BA20-4665E5F9476F}" sourceName="Product_Category">
  <pivotTables>
    <pivotTable tabId="3" name="PivotTable2"/>
    <pivotTable tabId="3" name="PivotTable1"/>
    <pivotTable tabId="3" name="PivotTable3"/>
    <pivotTable tabId="3" name="PivotTable4"/>
    <pivotTable tabId="3" name="PivotTable5"/>
    <pivotTable tabId="3" name="PivotTable6"/>
  </pivotTables>
  <data>
    <tabular pivotCacheId="9030003">
      <items count="4">
        <i x="2" s="1"/>
        <i x="0" s="1"/>
        <i x="3"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65E991F-033C-44E0-8EC2-4C2C88386658}" sourceName="Product_Name">
  <pivotTables>
    <pivotTable tabId="3" name="PivotTable2"/>
    <pivotTable tabId="3" name="PivotTable1"/>
    <pivotTable tabId="3" name="PivotTable3"/>
    <pivotTable tabId="3" name="PivotTable4"/>
    <pivotTable tabId="3" name="PivotTable5"/>
    <pivotTable tabId="3" name="PivotTable6"/>
  </pivotTables>
  <data>
    <tabular pivotCacheId="9030003">
      <items count="12">
        <i x="10" s="1"/>
        <i x="0" s="1"/>
        <i x="5" s="1"/>
        <i x="8" s="1"/>
        <i x="7" s="1"/>
        <i x="1" s="1"/>
        <i x="9" s="1"/>
        <i x="11" s="1"/>
        <i x="6" s="1"/>
        <i x="2" s="1"/>
        <i x="4"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42E1B1BC-9AC4-4CDD-A992-02DE1AE8074A}" sourceName="Sales_Channel">
  <pivotTables>
    <pivotTable tabId="3" name="PivotTable2"/>
    <pivotTable tabId="3" name="PivotTable1"/>
    <pivotTable tabId="3" name="PivotTable3"/>
    <pivotTable tabId="3" name="PivotTable4"/>
    <pivotTable tabId="3" name="PivotTable5"/>
    <pivotTable tabId="3" name="PivotTable6"/>
  </pivotTables>
  <data>
    <tabular pivotCacheId="9030003">
      <items count="3">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A8C76E58-566C-4A54-BBC9-B5F1EB242D16}" sourceName="Region">
  <pivotTables>
    <pivotTable tabId="7" name="PivotTable12"/>
    <pivotTable tabId="7" name="PivotTable13"/>
    <pivotTable tabId="7" name="PivotTable14"/>
    <pivotTable tabId="7" name="PivotTable15"/>
    <pivotTable tabId="7" name="PivotTable16"/>
    <pivotTable tabId="7" name="PivotTable18"/>
  </pivotTables>
  <data>
    <tabular pivotCacheId="9030003">
      <items count="4">
        <i x="2" s="1"/>
        <i x="3"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398F189A-19E0-43F1-B739-41C14CDBD991}" sourceName="State">
  <pivotTables>
    <pivotTable tabId="7" name="PivotTable12"/>
    <pivotTable tabId="7" name="PivotTable13"/>
    <pivotTable tabId="7" name="PivotTable14"/>
    <pivotTable tabId="7" name="PivotTable15"/>
    <pivotTable tabId="7" name="PivotTable16"/>
    <pivotTable tabId="7" name="PivotTable18"/>
  </pivotTables>
  <data>
    <tabular pivotCacheId="9030003">
      <items count="16">
        <i x="3" s="1"/>
        <i x="7" s="1"/>
        <i x="9" s="1"/>
        <i x="0" s="1"/>
        <i x="8" s="1"/>
        <i x="11" s="1"/>
        <i x="6" s="1"/>
        <i x="2" s="1"/>
        <i x="14" s="1"/>
        <i x="5" s="1"/>
        <i x="12" s="1"/>
        <i x="10" s="1"/>
        <i x="13" s="1"/>
        <i x="1" s="1"/>
        <i x="4" s="1"/>
        <i x="15"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2" xr10:uid="{60A05E14-B070-424B-A83A-552F83D628C4}" sourceName="Product_Category">
  <pivotTables>
    <pivotTable tabId="7" name="PivotTable12"/>
    <pivotTable tabId="7" name="PivotTable13"/>
    <pivotTable tabId="7" name="PivotTable14"/>
    <pivotTable tabId="7" name="PivotTable15"/>
    <pivotTable tabId="7" name="PivotTable16"/>
    <pivotTable tabId="7" name="PivotTable18"/>
  </pivotTables>
  <data>
    <tabular pivotCacheId="9030003">
      <items count="4">
        <i x="2" s="1"/>
        <i x="0" s="1"/>
        <i x="3"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2" xr10:uid="{3CA92A72-DCD5-4B66-854B-AF18D6DF3B7C}" sourceName="Sales_Channel">
  <pivotTables>
    <pivotTable tabId="7" name="PivotTable12"/>
    <pivotTable tabId="7" name="PivotTable13"/>
    <pivotTable tabId="7" name="PivotTable14"/>
    <pivotTable tabId="7" name="PivotTable15"/>
    <pivotTable tabId="7" name="PivotTable16"/>
    <pivotTable tabId="7" name="PivotTable18"/>
  </pivotTables>
  <data>
    <tabular pivotCacheId="9030003">
      <items count="3">
        <i x="0" s="1"/>
        <i x="2"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E6E56AC-FA64-4F60-9126-72C06AE0E78C}" sourceName="Years (Order_Date)">
  <pivotTables>
    <pivotTable tabId="7" name="PivotTable12"/>
    <pivotTable tabId="7" name="PivotTable13"/>
    <pivotTable tabId="7" name="PivotTable14"/>
    <pivotTable tabId="7" name="PivotTable15"/>
    <pivotTable tabId="7" name="PivotTable16"/>
    <pivotTable tabId="7" name="PivotTable18"/>
  </pivotTables>
  <data>
    <tabular pivotCacheId="9030003">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C1F489-1C7A-4881-ACD8-EA620CD3153E}" cache="Slicer_Region" caption="Region" rowHeight="234950"/>
  <slicer name="State" xr10:uid="{7443D47C-A030-4B29-B1D3-8D99D232C150}" cache="Slicer_State" caption="State" rowHeight="234950"/>
  <slicer name="Product_Category" xr10:uid="{A4B672DD-3609-4E64-B2BE-5B0D26ED8BBF}" cache="Slicer_Product_Category" caption="Product_Category" rowHeight="234950"/>
  <slicer name="Sales_Channel" xr10:uid="{C9FD93D8-81AB-4F61-B1F6-76524BDEA971}" cache="Slicer_Sales_Channel" caption="Sales_Channel" rowHeight="234950"/>
  <slicer name="Months (Order_Date)" xr10:uid="{B252D90D-C564-4E73-8CA8-4BCA9BF38343}" cache="Slicer_Months__Order_Date" caption="Months (Order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B30FF72-D57D-4F4F-94A4-02EB8058F430}" cache="Slicer_Region1" caption="Region" rowHeight="234950"/>
  <slicer name="State 2" xr10:uid="{FD0CBEDA-E7C3-49C9-80B4-64A3F14497BC}" cache="Slicer_State1" caption="State" rowHeight="234950"/>
  <slicer name="Product_Category 2" xr10:uid="{83B0F00D-176C-413D-A717-BD84D177248E}" cache="Slicer_Product_Category1" caption="Product_Category" rowHeight="234950"/>
  <slicer name="Product_Name" xr10:uid="{2DCEF30F-CFDC-4453-8E30-DFAB1E36C176}" cache="Slicer_Product_Name" caption="Product_Name" rowHeight="234950"/>
  <slicer name="Sales_Channel 2" xr10:uid="{7FDF29D6-A863-4DA3-BB5A-3CE4DFD4F45C}" cache="Slicer_Sales_Channel1" caption="Sales_Channe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1C42D84B-5976-437C-A26F-9FC301BC1BE0}" cache="Slicer_Region2" caption="Region" rowHeight="234950"/>
  <slicer name="State 4" xr10:uid="{9ADB5FBB-B75C-47D4-93C2-46AB47E80D05}" cache="Slicer_State2" caption="State" rowHeight="234950"/>
  <slicer name="Product_Category 4" xr10:uid="{82793CFE-8296-474D-9A25-B0548813AF45}" cache="Slicer_Product_Category2" caption="Product_Category" rowHeight="234950"/>
  <slicer name="Sales_Channel 4" xr10:uid="{4FCEA87F-5D28-4449-B4C0-C33179412FF5}" cache="Slicer_Sales_Channel2" caption="Sales_Channel" rowHeight="234950"/>
  <slicer name="Years (Order_Date)" xr10:uid="{F5F0728D-981B-4E78-AD1D-51ECC7B3E336}" cache="Slicer_Years__Order_Date" caption="Years (Order_Dat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F707989-8E07-4BD2-B71E-D5CFAD64A5BC}" cache="Slicer_Region" caption="Region" style="SlicerStyleLight2" rowHeight="234950"/>
  <slicer name="State 1" xr10:uid="{BA1EBD46-80D6-478E-A7F8-5357BEE67CF8}" cache="Slicer_State" caption="State" style="SlicerStyleLight2" rowHeight="234950"/>
  <slicer name="Product_Category 1" xr10:uid="{CE88D10B-D449-4CEB-AA85-0423E4C92E05}" cache="Slicer_Product_Category" caption="Product_Category" style="SlicerStyleLight2" rowHeight="234950"/>
  <slicer name="Sales_Channel 1" xr10:uid="{82A83017-736A-4F79-8068-9BF2B44C302C}" cache="Slicer_Sales_Channel" caption="Sales_Channel" style="SlicerStyleLight2" rowHeight="234950"/>
  <slicer name="Months (Order_Date) 1" xr10:uid="{F5DC3BE8-D7C4-4D97-A675-339B8EBD5F31}" cache="Slicer_Months__Order_Date" caption="Months (Order_Date)" style="SlicerStyleLigh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0DE4F89D-A36B-4078-A5D5-C77E9ABD3F23}" cache="Slicer_Region1" caption="Region" style="SlicerStyleLight6" rowHeight="234950"/>
  <slicer name="State 3" xr10:uid="{F6323206-222C-48D5-A292-1DFFC2F692A2}" cache="Slicer_State1" caption="State" style="SlicerStyleLight6" rowHeight="234950"/>
  <slicer name="Product_Category 3" xr10:uid="{A1BD7880-1B52-4925-819D-0A7A10167524}" cache="Slicer_Product_Category1" caption="Product_Category" style="SlicerStyleLight6" rowHeight="234950"/>
  <slicer name="Product_Name 1" xr10:uid="{1338A81E-0D44-407A-9F72-AD1F90984FCC}" cache="Slicer_Product_Name" caption="Product_Name" style="SlicerStyleLight6" rowHeight="234950"/>
  <slicer name="Sales_Channel 3" xr10:uid="{7D52FD63-78AB-4EA6-BB45-FF38C40047F1}" cache="Slicer_Sales_Channel1" caption="Sales_Channel" style="SlicerStyleLight6"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56541247-6EDA-4FC7-83C5-2F7599C415B2}" cache="Slicer_Region2" caption="Region" style="SlicerStyleLight4" rowHeight="234950"/>
  <slicer name="State 5" xr10:uid="{6D113902-8EFA-46E0-A80D-A043398D76EF}" cache="Slicer_State2" caption="State" style="SlicerStyleLight4" rowHeight="234950"/>
  <slicer name="Product_Category 5" xr10:uid="{C5CC8EE2-0148-468B-9A95-BBBF09D7E81E}" cache="Slicer_Product_Category2" caption="Product_Category" style="SlicerStyleLight4" rowHeight="234950"/>
  <slicer name="Sales_Channel 5" xr10:uid="{F53E7207-31EC-452F-BA47-4CC5D8C36C60}" cache="Slicer_Sales_Channel2" caption="Sales_Channel" style="SlicerStyleLight4" rowHeight="234950"/>
  <slicer name="Years (Order_Date) 1" xr10:uid="{3E80E2E6-973D-46CA-B116-0A6E9F43CE6B}" cache="Slicer_Years__Order_Date" caption="Years (Order_Date)"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40D11D-D49D-4C4A-BB58-6C06877A7DAB}" name="Sales_data" displayName="Sales_data" ref="A1:M601" totalsRowShown="0">
  <autoFilter ref="A1:M601" xr:uid="{EA40D11D-D49D-4C4A-BB58-6C06877A7DAB}"/>
  <tableColumns count="13">
    <tableColumn id="1" xr3:uid="{C8444DE3-631B-43BC-8834-097A33068DA6}" name="Order_ID"/>
    <tableColumn id="2" xr3:uid="{37777FDE-D473-4A04-B927-48FC0C9F8290}" name="Order_Date"/>
    <tableColumn id="3" xr3:uid="{DDDE9C39-3A30-442C-A68A-498ADACACD82}" name="Region"/>
    <tableColumn id="4" xr3:uid="{4699D609-1F80-4328-AC52-03879DA57FCA}" name="State"/>
    <tableColumn id="5" xr3:uid="{46528872-640A-4529-9ACA-EDCBDFD0744E}" name="Product_Category"/>
    <tableColumn id="6" xr3:uid="{BDBF7B69-7C06-4FDF-A8E6-0CE2233F1C4B}" name="Product_Name"/>
    <tableColumn id="7" xr3:uid="{C56C51C0-877D-494F-B3E3-77A12093FEAF}" name="Sales_Channel"/>
    <tableColumn id="8" xr3:uid="{5963CBBE-E19A-47BE-9C30-0DF947E7007D}" name="Units_Sold"/>
    <tableColumn id="9" xr3:uid="{1F813FD1-E8A8-4F2E-982A-FB88F35C8DBD}" name="Unit_Price"/>
    <tableColumn id="10" xr3:uid="{54B97B4C-97E6-4C0F-9F49-C7CE8A159D69}" name="Total_Sales"/>
    <tableColumn id="11" xr3:uid="{CFC37679-02EC-49AD-9CD7-724DAF91FB18}" name="Cost_Per_Unit"/>
    <tableColumn id="12" xr3:uid="{288DACD2-5AC2-4E90-BA01-C66053DA9252}" name="Total_Cost"/>
    <tableColumn id="13" xr3:uid="{74E138E6-4B55-4B60-ACBA-1310D9A25C5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16.xml"/><Relationship Id="rId7" Type="http://schemas.openxmlformats.org/officeDocument/2006/relationships/drawing" Target="../drawings/drawing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7576-DE8D-479A-84C9-E89FD6BC0448}">
  <dimension ref="A1:M601"/>
  <sheetViews>
    <sheetView topLeftCell="A584" workbookViewId="0">
      <selection activeCell="D603" sqref="D603"/>
    </sheetView>
  </sheetViews>
  <sheetFormatPr defaultRowHeight="14.4"/>
  <cols>
    <col min="1" max="1" width="10.44140625" customWidth="1"/>
    <col min="2" max="2" width="12.5546875" customWidth="1"/>
    <col min="4" max="4" width="14.5546875" bestFit="1" customWidth="1"/>
    <col min="5" max="5" width="18.109375" customWidth="1"/>
    <col min="6" max="6" width="16.21875" bestFit="1" customWidth="1"/>
    <col min="7" max="7" width="15" customWidth="1"/>
    <col min="8" max="8" width="11.88671875" customWidth="1"/>
    <col min="9" max="9" width="11.5546875" customWidth="1"/>
    <col min="10" max="10" width="12.33203125" customWidth="1"/>
    <col min="11" max="11" width="14.88671875" customWidth="1"/>
    <col min="12" max="12" width="11.77734375" customWidth="1"/>
  </cols>
  <sheetData>
    <row r="1" spans="1:13">
      <c r="A1" t="s">
        <v>0</v>
      </c>
      <c r="B1" t="s">
        <v>1</v>
      </c>
      <c r="C1" t="s">
        <v>2</v>
      </c>
      <c r="D1" t="s">
        <v>3</v>
      </c>
      <c r="E1" t="s">
        <v>4</v>
      </c>
      <c r="F1" t="s">
        <v>5</v>
      </c>
      <c r="G1" t="s">
        <v>6</v>
      </c>
      <c r="H1" t="s">
        <v>7</v>
      </c>
      <c r="I1" t="s">
        <v>8</v>
      </c>
      <c r="J1" t="s">
        <v>9</v>
      </c>
      <c r="K1" t="s">
        <v>10</v>
      </c>
      <c r="L1" t="s">
        <v>11</v>
      </c>
      <c r="M1" t="s">
        <v>12</v>
      </c>
    </row>
    <row r="2" spans="1:13">
      <c r="A2">
        <v>1</v>
      </c>
      <c r="B2" s="65535">
        <v>45243</v>
      </c>
      <c r="C2" t="s">
        <v>13</v>
      </c>
      <c r="D2" t="s">
        <v>14</v>
      </c>
      <c r="E2" t="s">
        <v>15</v>
      </c>
      <c r="F2" t="s">
        <v>16</v>
      </c>
      <c r="G2" t="s">
        <v>17</v>
      </c>
      <c r="H2">
        <v>336</v>
      </c>
      <c r="I2">
        <v>2695</v>
      </c>
      <c r="J2">
        <v>905520</v>
      </c>
      <c r="K2">
        <v>2182</v>
      </c>
      <c r="L2">
        <v>733152</v>
      </c>
      <c r="M2">
        <v>172368</v>
      </c>
    </row>
    <row r="3" spans="1:13">
      <c r="A3">
        <v>2</v>
      </c>
      <c r="B3" s="65535">
        <v>45041</v>
      </c>
      <c r="C3" t="s">
        <v>18</v>
      </c>
      <c r="D3" t="s">
        <v>19</v>
      </c>
      <c r="E3" t="s">
        <v>20</v>
      </c>
      <c r="F3" t="s">
        <v>21</v>
      </c>
      <c r="G3" t="s">
        <v>22</v>
      </c>
      <c r="H3">
        <v>442</v>
      </c>
      <c r="I3">
        <v>3922</v>
      </c>
      <c r="J3">
        <v>1733524</v>
      </c>
      <c r="K3">
        <v>1459</v>
      </c>
      <c r="L3">
        <v>644878</v>
      </c>
      <c r="M3">
        <v>1088646</v>
      </c>
    </row>
    <row r="4" spans="1:13">
      <c r="A4">
        <v>3</v>
      </c>
      <c r="B4" s="65535">
        <v>45264</v>
      </c>
      <c r="C4" t="s">
        <v>13</v>
      </c>
      <c r="D4" t="s">
        <v>23</v>
      </c>
      <c r="E4" t="s">
        <v>24</v>
      </c>
      <c r="F4" t="s">
        <v>25</v>
      </c>
      <c r="G4" t="s">
        <v>22</v>
      </c>
      <c r="H4">
        <v>123</v>
      </c>
      <c r="I4">
        <v>217</v>
      </c>
      <c r="J4">
        <v>26691</v>
      </c>
      <c r="K4">
        <v>143</v>
      </c>
      <c r="L4">
        <v>17589</v>
      </c>
      <c r="M4">
        <v>9102</v>
      </c>
    </row>
    <row r="5" spans="1:13">
      <c r="A5">
        <v>4</v>
      </c>
      <c r="B5" s="65535">
        <v>44950</v>
      </c>
      <c r="C5" t="s">
        <v>26</v>
      </c>
      <c r="D5" t="s">
        <v>27</v>
      </c>
      <c r="E5" t="s">
        <v>20</v>
      </c>
      <c r="F5" t="s">
        <v>28</v>
      </c>
      <c r="G5" t="s">
        <v>22</v>
      </c>
      <c r="H5">
        <v>469</v>
      </c>
      <c r="I5">
        <v>1544</v>
      </c>
      <c r="J5">
        <v>724136</v>
      </c>
      <c r="K5">
        <v>1108</v>
      </c>
      <c r="L5">
        <v>519652</v>
      </c>
      <c r="M5">
        <v>204484</v>
      </c>
    </row>
    <row r="6" spans="1:13">
      <c r="A6">
        <v>5</v>
      </c>
      <c r="B6" s="65535">
        <v>45027</v>
      </c>
      <c r="C6" t="s">
        <v>18</v>
      </c>
      <c r="D6" t="s">
        <v>19</v>
      </c>
      <c r="E6" t="s">
        <v>15</v>
      </c>
      <c r="F6" t="s">
        <v>29</v>
      </c>
      <c r="G6" t="s">
        <v>17</v>
      </c>
      <c r="H6">
        <v>106</v>
      </c>
      <c r="I6">
        <v>1189</v>
      </c>
      <c r="J6">
        <v>126034</v>
      </c>
      <c r="K6">
        <v>904</v>
      </c>
      <c r="L6">
        <v>95824</v>
      </c>
      <c r="M6">
        <v>30210</v>
      </c>
    </row>
    <row r="7" spans="1:13">
      <c r="A7">
        <v>6</v>
      </c>
      <c r="B7" s="65535">
        <v>44982</v>
      </c>
      <c r="C7" t="s">
        <v>18</v>
      </c>
      <c r="D7" t="s">
        <v>19</v>
      </c>
      <c r="E7" t="s">
        <v>30</v>
      </c>
      <c r="F7" t="s">
        <v>31</v>
      </c>
      <c r="G7" t="s">
        <v>32</v>
      </c>
      <c r="H7">
        <v>397</v>
      </c>
      <c r="I7">
        <v>3595</v>
      </c>
      <c r="J7">
        <v>1427215</v>
      </c>
      <c r="K7">
        <v>290</v>
      </c>
      <c r="L7">
        <v>115130</v>
      </c>
      <c r="M7">
        <v>1312085</v>
      </c>
    </row>
    <row r="8" spans="1:13">
      <c r="A8">
        <v>7</v>
      </c>
      <c r="B8" s="65535">
        <v>45185</v>
      </c>
      <c r="C8" t="s">
        <v>33</v>
      </c>
      <c r="D8" t="s">
        <v>34</v>
      </c>
      <c r="E8" t="s">
        <v>24</v>
      </c>
      <c r="F8" t="s">
        <v>35</v>
      </c>
      <c r="G8" t="s">
        <v>17</v>
      </c>
      <c r="H8">
        <v>78</v>
      </c>
      <c r="I8">
        <v>4286</v>
      </c>
      <c r="J8">
        <v>334308</v>
      </c>
      <c r="K8">
        <v>135</v>
      </c>
      <c r="L8">
        <v>10530</v>
      </c>
      <c r="M8">
        <v>323778</v>
      </c>
    </row>
    <row r="9" spans="1:13">
      <c r="A9">
        <v>8</v>
      </c>
      <c r="B9" s="65535">
        <v>45281</v>
      </c>
      <c r="C9" t="s">
        <v>33</v>
      </c>
      <c r="D9" t="s">
        <v>34</v>
      </c>
      <c r="E9" t="s">
        <v>24</v>
      </c>
      <c r="F9" t="s">
        <v>35</v>
      </c>
      <c r="G9" t="s">
        <v>22</v>
      </c>
      <c r="H9">
        <v>306</v>
      </c>
      <c r="I9">
        <v>1622</v>
      </c>
      <c r="J9">
        <v>496332</v>
      </c>
      <c r="K9">
        <v>362</v>
      </c>
      <c r="L9">
        <v>110772</v>
      </c>
      <c r="M9">
        <v>385560</v>
      </c>
    </row>
    <row r="10" spans="1:13">
      <c r="A10">
        <v>9</v>
      </c>
      <c r="B10" s="65535">
        <v>45141</v>
      </c>
      <c r="C10" t="s">
        <v>33</v>
      </c>
      <c r="D10" t="s">
        <v>34</v>
      </c>
      <c r="E10" t="s">
        <v>20</v>
      </c>
      <c r="F10" t="s">
        <v>28</v>
      </c>
      <c r="G10" t="s">
        <v>32</v>
      </c>
      <c r="H10">
        <v>321</v>
      </c>
      <c r="I10">
        <v>2233</v>
      </c>
      <c r="J10">
        <v>716793</v>
      </c>
      <c r="K10">
        <v>1220</v>
      </c>
      <c r="L10">
        <v>391620</v>
      </c>
      <c r="M10">
        <v>325173</v>
      </c>
    </row>
    <row r="11" spans="1:13">
      <c r="A11">
        <v>10</v>
      </c>
      <c r="B11" s="65535">
        <v>44997</v>
      </c>
      <c r="C11" t="s">
        <v>13</v>
      </c>
      <c r="D11" t="s">
        <v>23</v>
      </c>
      <c r="E11" t="s">
        <v>20</v>
      </c>
      <c r="F11" t="s">
        <v>21</v>
      </c>
      <c r="G11" t="s">
        <v>22</v>
      </c>
      <c r="H11">
        <v>221</v>
      </c>
      <c r="I11">
        <v>4396</v>
      </c>
      <c r="J11">
        <v>971516</v>
      </c>
      <c r="K11">
        <v>2548</v>
      </c>
      <c r="L11">
        <v>563108</v>
      </c>
      <c r="M11">
        <v>408408</v>
      </c>
    </row>
    <row r="12" spans="1:13">
      <c r="A12">
        <v>11</v>
      </c>
      <c r="B12" s="65535">
        <v>45292</v>
      </c>
      <c r="C12" t="s">
        <v>26</v>
      </c>
      <c r="D12" t="s">
        <v>36</v>
      </c>
      <c r="E12" t="s">
        <v>30</v>
      </c>
      <c r="F12" t="s">
        <v>37</v>
      </c>
      <c r="G12" t="s">
        <v>17</v>
      </c>
      <c r="H12">
        <v>158</v>
      </c>
      <c r="I12">
        <v>3028</v>
      </c>
      <c r="J12">
        <v>478424</v>
      </c>
      <c r="K12">
        <v>2854</v>
      </c>
      <c r="L12">
        <v>450932</v>
      </c>
      <c r="M12">
        <v>27492</v>
      </c>
    </row>
    <row r="13" spans="1:13">
      <c r="A13">
        <v>12</v>
      </c>
      <c r="B13" s="65535">
        <v>45107</v>
      </c>
      <c r="C13" t="s">
        <v>18</v>
      </c>
      <c r="D13" t="s">
        <v>38</v>
      </c>
      <c r="E13" t="s">
        <v>20</v>
      </c>
      <c r="F13" t="s">
        <v>28</v>
      </c>
      <c r="G13" t="s">
        <v>22</v>
      </c>
      <c r="H13">
        <v>297</v>
      </c>
      <c r="I13">
        <v>4135</v>
      </c>
      <c r="J13">
        <v>1228095</v>
      </c>
      <c r="K13">
        <v>2487</v>
      </c>
      <c r="L13">
        <v>738639</v>
      </c>
      <c r="M13">
        <v>489456</v>
      </c>
    </row>
    <row r="14" spans="1:13">
      <c r="A14">
        <v>13</v>
      </c>
      <c r="B14" s="65535">
        <v>44981</v>
      </c>
      <c r="C14" t="s">
        <v>13</v>
      </c>
      <c r="D14" t="s">
        <v>23</v>
      </c>
      <c r="E14" t="s">
        <v>24</v>
      </c>
      <c r="F14" t="s">
        <v>25</v>
      </c>
      <c r="G14" t="s">
        <v>17</v>
      </c>
      <c r="H14">
        <v>22</v>
      </c>
      <c r="I14">
        <v>3320</v>
      </c>
      <c r="J14">
        <v>73040</v>
      </c>
      <c r="K14">
        <v>695</v>
      </c>
      <c r="L14">
        <v>15290</v>
      </c>
      <c r="M14">
        <v>57750</v>
      </c>
    </row>
    <row r="15" spans="1:13">
      <c r="A15">
        <v>14</v>
      </c>
      <c r="B15" s="65535">
        <v>45073</v>
      </c>
      <c r="C15" t="s">
        <v>33</v>
      </c>
      <c r="D15" t="s">
        <v>39</v>
      </c>
      <c r="E15" t="s">
        <v>30</v>
      </c>
      <c r="F15" t="s">
        <v>40</v>
      </c>
      <c r="G15" t="s">
        <v>22</v>
      </c>
      <c r="H15">
        <v>359</v>
      </c>
      <c r="I15">
        <v>2252</v>
      </c>
      <c r="J15">
        <v>808468</v>
      </c>
      <c r="K15">
        <v>699</v>
      </c>
      <c r="L15">
        <v>250941</v>
      </c>
      <c r="M15">
        <v>557527</v>
      </c>
    </row>
    <row r="16" spans="1:13">
      <c r="A16">
        <v>15</v>
      </c>
      <c r="B16" s="65535">
        <v>45110</v>
      </c>
      <c r="C16" t="s">
        <v>33</v>
      </c>
      <c r="D16" t="s">
        <v>41</v>
      </c>
      <c r="E16" t="s">
        <v>30</v>
      </c>
      <c r="F16" t="s">
        <v>31</v>
      </c>
      <c r="G16" t="s">
        <v>22</v>
      </c>
      <c r="H16">
        <v>426</v>
      </c>
      <c r="I16">
        <v>3907</v>
      </c>
      <c r="J16">
        <v>1664382</v>
      </c>
      <c r="K16">
        <v>519</v>
      </c>
      <c r="L16">
        <v>221094</v>
      </c>
      <c r="M16">
        <v>1443288</v>
      </c>
    </row>
    <row r="17" spans="1:13">
      <c r="A17">
        <v>16</v>
      </c>
      <c r="B17" s="65535">
        <v>45074</v>
      </c>
      <c r="C17" t="s">
        <v>18</v>
      </c>
      <c r="D17" t="s">
        <v>19</v>
      </c>
      <c r="E17" t="s">
        <v>30</v>
      </c>
      <c r="F17" t="s">
        <v>31</v>
      </c>
      <c r="G17" t="s">
        <v>17</v>
      </c>
      <c r="H17">
        <v>364</v>
      </c>
      <c r="I17">
        <v>584</v>
      </c>
      <c r="J17">
        <v>212576</v>
      </c>
      <c r="K17">
        <v>295</v>
      </c>
      <c r="L17">
        <v>107380</v>
      </c>
      <c r="M17">
        <v>105196</v>
      </c>
    </row>
    <row r="18" spans="1:13">
      <c r="A18">
        <v>17</v>
      </c>
      <c r="B18" s="65535">
        <v>44933</v>
      </c>
      <c r="C18" t="s">
        <v>13</v>
      </c>
      <c r="D18" t="s">
        <v>42</v>
      </c>
      <c r="E18" t="s">
        <v>20</v>
      </c>
      <c r="F18" t="s">
        <v>28</v>
      </c>
      <c r="G18" t="s">
        <v>22</v>
      </c>
      <c r="H18">
        <v>390</v>
      </c>
      <c r="I18">
        <v>2258</v>
      </c>
      <c r="J18">
        <v>880620</v>
      </c>
      <c r="K18">
        <v>931</v>
      </c>
      <c r="L18">
        <v>363090</v>
      </c>
      <c r="M18">
        <v>517530</v>
      </c>
    </row>
    <row r="19" spans="1:13">
      <c r="A19">
        <v>18</v>
      </c>
      <c r="B19" s="65535">
        <v>45235</v>
      </c>
      <c r="C19" t="s">
        <v>13</v>
      </c>
      <c r="D19" t="s">
        <v>43</v>
      </c>
      <c r="E19" t="s">
        <v>20</v>
      </c>
      <c r="F19" t="s">
        <v>28</v>
      </c>
      <c r="G19" t="s">
        <v>17</v>
      </c>
      <c r="H19">
        <v>110</v>
      </c>
      <c r="I19">
        <v>1785</v>
      </c>
      <c r="J19">
        <v>196350</v>
      </c>
      <c r="K19">
        <v>702</v>
      </c>
      <c r="L19">
        <v>77220</v>
      </c>
      <c r="M19">
        <v>119130</v>
      </c>
    </row>
    <row r="20" spans="1:13">
      <c r="A20">
        <v>19</v>
      </c>
      <c r="B20" s="65535">
        <v>45190</v>
      </c>
      <c r="C20" t="s">
        <v>13</v>
      </c>
      <c r="D20" t="s">
        <v>43</v>
      </c>
      <c r="E20" t="s">
        <v>15</v>
      </c>
      <c r="F20" t="s">
        <v>16</v>
      </c>
      <c r="G20" t="s">
        <v>22</v>
      </c>
      <c r="H20">
        <v>71</v>
      </c>
      <c r="I20">
        <v>3290</v>
      </c>
      <c r="J20">
        <v>233590</v>
      </c>
      <c r="K20">
        <v>266</v>
      </c>
      <c r="L20">
        <v>18886</v>
      </c>
      <c r="M20">
        <v>214704</v>
      </c>
    </row>
    <row r="21" spans="1:13">
      <c r="A21">
        <v>20</v>
      </c>
      <c r="B21" s="65535">
        <v>45226</v>
      </c>
      <c r="C21" t="s">
        <v>13</v>
      </c>
      <c r="D21" t="s">
        <v>23</v>
      </c>
      <c r="E21" t="s">
        <v>20</v>
      </c>
      <c r="F21" t="s">
        <v>44</v>
      </c>
      <c r="G21" t="s">
        <v>22</v>
      </c>
      <c r="H21">
        <v>443</v>
      </c>
      <c r="I21">
        <v>2289</v>
      </c>
      <c r="J21">
        <v>1014027</v>
      </c>
      <c r="K21">
        <v>123</v>
      </c>
      <c r="L21">
        <v>54489</v>
      </c>
      <c r="M21">
        <v>959538</v>
      </c>
    </row>
    <row r="22" spans="1:13">
      <c r="A22">
        <v>21</v>
      </c>
      <c r="B22" s="65535">
        <v>45092</v>
      </c>
      <c r="C22" t="s">
        <v>26</v>
      </c>
      <c r="D22" t="s">
        <v>45</v>
      </c>
      <c r="E22" t="s">
        <v>30</v>
      </c>
      <c r="F22" t="s">
        <v>37</v>
      </c>
      <c r="G22" t="s">
        <v>22</v>
      </c>
      <c r="H22">
        <v>315</v>
      </c>
      <c r="I22">
        <v>616</v>
      </c>
      <c r="J22">
        <v>194040</v>
      </c>
      <c r="K22">
        <v>496</v>
      </c>
      <c r="L22">
        <v>156240</v>
      </c>
      <c r="M22">
        <v>37800</v>
      </c>
    </row>
    <row r="23" spans="1:13">
      <c r="A23">
        <v>22</v>
      </c>
      <c r="B23" s="65535">
        <v>45089</v>
      </c>
      <c r="C23" t="s">
        <v>26</v>
      </c>
      <c r="D23" t="s">
        <v>45</v>
      </c>
      <c r="E23" t="s">
        <v>20</v>
      </c>
      <c r="F23" t="s">
        <v>44</v>
      </c>
      <c r="G23" t="s">
        <v>17</v>
      </c>
      <c r="H23">
        <v>279</v>
      </c>
      <c r="I23">
        <v>2001</v>
      </c>
      <c r="J23">
        <v>558279</v>
      </c>
      <c r="K23">
        <v>476</v>
      </c>
      <c r="L23">
        <v>132804</v>
      </c>
      <c r="M23">
        <v>425475</v>
      </c>
    </row>
    <row r="24" spans="1:13">
      <c r="A24">
        <v>23</v>
      </c>
      <c r="B24" s="65535">
        <v>45133</v>
      </c>
      <c r="C24" t="s">
        <v>33</v>
      </c>
      <c r="D24" t="s">
        <v>46</v>
      </c>
      <c r="E24" t="s">
        <v>24</v>
      </c>
      <c r="F24" t="s">
        <v>35</v>
      </c>
      <c r="G24" t="s">
        <v>17</v>
      </c>
      <c r="H24">
        <v>57</v>
      </c>
      <c r="I24">
        <v>3062</v>
      </c>
      <c r="J24">
        <v>174534</v>
      </c>
      <c r="K24">
        <v>1006</v>
      </c>
      <c r="L24">
        <v>57342</v>
      </c>
      <c r="M24">
        <v>117192</v>
      </c>
    </row>
    <row r="25" spans="1:13">
      <c r="A25">
        <v>24</v>
      </c>
      <c r="B25" s="65535">
        <v>45038</v>
      </c>
      <c r="C25" t="s">
        <v>18</v>
      </c>
      <c r="D25" t="s">
        <v>47</v>
      </c>
      <c r="E25" t="s">
        <v>20</v>
      </c>
      <c r="F25" t="s">
        <v>21</v>
      </c>
      <c r="G25" t="s">
        <v>32</v>
      </c>
      <c r="H25">
        <v>496</v>
      </c>
      <c r="I25">
        <v>4545</v>
      </c>
      <c r="J25">
        <v>2254320</v>
      </c>
      <c r="K25">
        <v>3990</v>
      </c>
      <c r="L25">
        <v>1979040</v>
      </c>
      <c r="M25">
        <v>275280</v>
      </c>
    </row>
    <row r="26" spans="1:13">
      <c r="A26">
        <v>25</v>
      </c>
      <c r="B26" s="65535">
        <v>45255</v>
      </c>
      <c r="C26" t="s">
        <v>33</v>
      </c>
      <c r="D26" t="s">
        <v>39</v>
      </c>
      <c r="E26" t="s">
        <v>20</v>
      </c>
      <c r="F26" t="s">
        <v>21</v>
      </c>
      <c r="G26" t="s">
        <v>22</v>
      </c>
      <c r="H26">
        <v>324</v>
      </c>
      <c r="I26">
        <v>2197</v>
      </c>
      <c r="J26">
        <v>711828</v>
      </c>
      <c r="K26">
        <v>263</v>
      </c>
      <c r="L26">
        <v>85212</v>
      </c>
      <c r="M26">
        <v>626616</v>
      </c>
    </row>
    <row r="27" spans="1:13">
      <c r="A27">
        <v>26</v>
      </c>
      <c r="B27" s="65535">
        <v>45203</v>
      </c>
      <c r="C27" t="s">
        <v>26</v>
      </c>
      <c r="D27" t="s">
        <v>45</v>
      </c>
      <c r="E27" t="s">
        <v>15</v>
      </c>
      <c r="F27" t="s">
        <v>29</v>
      </c>
      <c r="G27" t="s">
        <v>32</v>
      </c>
      <c r="H27">
        <v>380</v>
      </c>
      <c r="I27">
        <v>2516</v>
      </c>
      <c r="J27">
        <v>956080</v>
      </c>
      <c r="K27">
        <v>201</v>
      </c>
      <c r="L27">
        <v>76380</v>
      </c>
      <c r="M27">
        <v>879700</v>
      </c>
    </row>
    <row r="28" spans="1:13">
      <c r="A28">
        <v>27</v>
      </c>
      <c r="B28" s="65535">
        <v>45260</v>
      </c>
      <c r="C28" t="s">
        <v>26</v>
      </c>
      <c r="D28" t="s">
        <v>45</v>
      </c>
      <c r="E28" t="s">
        <v>24</v>
      </c>
      <c r="F28" t="s">
        <v>25</v>
      </c>
      <c r="G28" t="s">
        <v>32</v>
      </c>
      <c r="H28">
        <v>108</v>
      </c>
      <c r="I28">
        <v>2824</v>
      </c>
      <c r="J28">
        <v>304992</v>
      </c>
      <c r="K28">
        <v>2204</v>
      </c>
      <c r="L28">
        <v>238032</v>
      </c>
      <c r="M28">
        <v>66960</v>
      </c>
    </row>
    <row r="29" spans="1:13">
      <c r="A29">
        <v>28</v>
      </c>
      <c r="B29" s="65535">
        <v>44930</v>
      </c>
      <c r="C29" t="s">
        <v>33</v>
      </c>
      <c r="D29" t="s">
        <v>39</v>
      </c>
      <c r="E29" t="s">
        <v>30</v>
      </c>
      <c r="F29" t="s">
        <v>31</v>
      </c>
      <c r="G29" t="s">
        <v>17</v>
      </c>
      <c r="H29">
        <v>330</v>
      </c>
      <c r="I29">
        <v>736</v>
      </c>
      <c r="J29">
        <v>242880</v>
      </c>
      <c r="K29">
        <v>315</v>
      </c>
      <c r="L29">
        <v>103950</v>
      </c>
      <c r="M29">
        <v>138930</v>
      </c>
    </row>
    <row r="30" spans="1:13">
      <c r="A30">
        <v>29</v>
      </c>
      <c r="B30" s="65535">
        <v>45286</v>
      </c>
      <c r="C30" t="s">
        <v>18</v>
      </c>
      <c r="D30" t="s">
        <v>19</v>
      </c>
      <c r="E30" t="s">
        <v>15</v>
      </c>
      <c r="F30" t="s">
        <v>16</v>
      </c>
      <c r="G30" t="s">
        <v>17</v>
      </c>
      <c r="H30">
        <v>459</v>
      </c>
      <c r="I30">
        <v>3765</v>
      </c>
      <c r="J30">
        <v>1728135</v>
      </c>
      <c r="K30">
        <v>2748</v>
      </c>
      <c r="L30">
        <v>1261332</v>
      </c>
      <c r="M30">
        <v>466803</v>
      </c>
    </row>
    <row r="31" spans="1:13">
      <c r="A31">
        <v>30</v>
      </c>
      <c r="B31" s="65535">
        <v>45096</v>
      </c>
      <c r="C31" t="s">
        <v>33</v>
      </c>
      <c r="D31" t="s">
        <v>46</v>
      </c>
      <c r="E31" t="s">
        <v>15</v>
      </c>
      <c r="F31" t="s">
        <v>29</v>
      </c>
      <c r="G31" t="s">
        <v>17</v>
      </c>
      <c r="H31">
        <v>29</v>
      </c>
      <c r="I31">
        <v>916</v>
      </c>
      <c r="J31">
        <v>26564</v>
      </c>
      <c r="K31">
        <v>175</v>
      </c>
      <c r="L31">
        <v>5075</v>
      </c>
      <c r="M31">
        <v>21489</v>
      </c>
    </row>
    <row r="32" spans="1:13">
      <c r="A32">
        <v>31</v>
      </c>
      <c r="B32" s="65535">
        <v>45221</v>
      </c>
      <c r="C32" t="s">
        <v>33</v>
      </c>
      <c r="D32" t="s">
        <v>46</v>
      </c>
      <c r="E32" t="s">
        <v>20</v>
      </c>
      <c r="F32" t="s">
        <v>28</v>
      </c>
      <c r="G32" t="s">
        <v>22</v>
      </c>
      <c r="H32">
        <v>430</v>
      </c>
      <c r="I32">
        <v>2064</v>
      </c>
      <c r="J32">
        <v>887520</v>
      </c>
      <c r="K32">
        <v>1965</v>
      </c>
      <c r="L32">
        <v>844950</v>
      </c>
      <c r="M32">
        <v>42570</v>
      </c>
    </row>
    <row r="33" spans="1:13">
      <c r="A33">
        <v>32</v>
      </c>
      <c r="B33" s="65535">
        <v>45134</v>
      </c>
      <c r="C33" t="s">
        <v>26</v>
      </c>
      <c r="D33" t="s">
        <v>45</v>
      </c>
      <c r="E33" t="s">
        <v>24</v>
      </c>
      <c r="F33" t="s">
        <v>48</v>
      </c>
      <c r="G33" t="s">
        <v>17</v>
      </c>
      <c r="H33">
        <v>231</v>
      </c>
      <c r="I33">
        <v>2791</v>
      </c>
      <c r="J33">
        <v>644721</v>
      </c>
      <c r="K33">
        <v>169</v>
      </c>
      <c r="L33">
        <v>39039</v>
      </c>
      <c r="M33">
        <v>605682</v>
      </c>
    </row>
    <row r="34" spans="1:13">
      <c r="A34">
        <v>33</v>
      </c>
      <c r="B34" s="65535">
        <v>45243</v>
      </c>
      <c r="C34" t="s">
        <v>13</v>
      </c>
      <c r="D34" t="s">
        <v>14</v>
      </c>
      <c r="E34" t="s">
        <v>15</v>
      </c>
      <c r="F34" t="s">
        <v>49</v>
      </c>
      <c r="G34" t="s">
        <v>17</v>
      </c>
      <c r="H34">
        <v>42</v>
      </c>
      <c r="I34">
        <v>4997</v>
      </c>
      <c r="J34">
        <v>209874</v>
      </c>
      <c r="K34">
        <v>472</v>
      </c>
      <c r="L34">
        <v>19824</v>
      </c>
      <c r="M34">
        <v>190050</v>
      </c>
    </row>
    <row r="35" spans="1:13">
      <c r="A35">
        <v>34</v>
      </c>
      <c r="B35" s="65535">
        <v>45081</v>
      </c>
      <c r="C35" t="s">
        <v>33</v>
      </c>
      <c r="D35" t="s">
        <v>41</v>
      </c>
      <c r="E35" t="s">
        <v>15</v>
      </c>
      <c r="F35" t="s">
        <v>29</v>
      </c>
      <c r="G35" t="s">
        <v>17</v>
      </c>
      <c r="H35">
        <v>320</v>
      </c>
      <c r="I35">
        <v>908</v>
      </c>
      <c r="J35">
        <v>290560</v>
      </c>
      <c r="K35">
        <v>388</v>
      </c>
      <c r="L35">
        <v>124160</v>
      </c>
      <c r="M35">
        <v>166400</v>
      </c>
    </row>
    <row r="36" spans="1:13">
      <c r="A36">
        <v>35</v>
      </c>
      <c r="B36" s="65535">
        <v>45169</v>
      </c>
      <c r="C36" t="s">
        <v>13</v>
      </c>
      <c r="D36" t="s">
        <v>42</v>
      </c>
      <c r="E36" t="s">
        <v>24</v>
      </c>
      <c r="F36" t="s">
        <v>35</v>
      </c>
      <c r="G36" t="s">
        <v>22</v>
      </c>
      <c r="H36">
        <v>90</v>
      </c>
      <c r="I36">
        <v>4570</v>
      </c>
      <c r="J36">
        <v>411300</v>
      </c>
      <c r="K36">
        <v>1901</v>
      </c>
      <c r="L36">
        <v>171090</v>
      </c>
      <c r="M36">
        <v>240210</v>
      </c>
    </row>
    <row r="37" spans="1:13">
      <c r="A37">
        <v>36</v>
      </c>
      <c r="B37" s="65535">
        <v>45079</v>
      </c>
      <c r="C37" t="s">
        <v>18</v>
      </c>
      <c r="D37" t="s">
        <v>19</v>
      </c>
      <c r="E37" t="s">
        <v>20</v>
      </c>
      <c r="F37" t="s">
        <v>28</v>
      </c>
      <c r="G37" t="s">
        <v>22</v>
      </c>
      <c r="H37">
        <v>356</v>
      </c>
      <c r="I37">
        <v>3256</v>
      </c>
      <c r="J37">
        <v>1159136</v>
      </c>
      <c r="K37">
        <v>145</v>
      </c>
      <c r="L37">
        <v>51620</v>
      </c>
      <c r="M37">
        <v>1107516</v>
      </c>
    </row>
    <row r="38" spans="1:13">
      <c r="A38">
        <v>37</v>
      </c>
      <c r="B38" s="65535">
        <v>45232</v>
      </c>
      <c r="C38" t="s">
        <v>18</v>
      </c>
      <c r="D38" t="s">
        <v>50</v>
      </c>
      <c r="E38" t="s">
        <v>15</v>
      </c>
      <c r="F38" t="s">
        <v>16</v>
      </c>
      <c r="G38" t="s">
        <v>17</v>
      </c>
      <c r="H38">
        <v>211</v>
      </c>
      <c r="I38">
        <v>4600</v>
      </c>
      <c r="J38">
        <v>970600</v>
      </c>
      <c r="K38">
        <v>797</v>
      </c>
      <c r="L38">
        <v>168167</v>
      </c>
      <c r="M38">
        <v>802433</v>
      </c>
    </row>
    <row r="39" spans="1:13">
      <c r="A39">
        <v>38</v>
      </c>
      <c r="B39" s="65535">
        <v>45257</v>
      </c>
      <c r="C39" t="s">
        <v>26</v>
      </c>
      <c r="D39" t="s">
        <v>36</v>
      </c>
      <c r="E39" t="s">
        <v>20</v>
      </c>
      <c r="F39" t="s">
        <v>44</v>
      </c>
      <c r="G39" t="s">
        <v>32</v>
      </c>
      <c r="H39">
        <v>445</v>
      </c>
      <c r="I39">
        <v>4398</v>
      </c>
      <c r="J39">
        <v>1957110</v>
      </c>
      <c r="K39">
        <v>1266</v>
      </c>
      <c r="L39">
        <v>563370</v>
      </c>
      <c r="M39">
        <v>1393740</v>
      </c>
    </row>
    <row r="40" spans="1:13">
      <c r="A40">
        <v>39</v>
      </c>
      <c r="B40" s="65535">
        <v>45026</v>
      </c>
      <c r="C40" t="s">
        <v>18</v>
      </c>
      <c r="D40" t="s">
        <v>38</v>
      </c>
      <c r="E40" t="s">
        <v>30</v>
      </c>
      <c r="F40" t="s">
        <v>31</v>
      </c>
      <c r="G40" t="s">
        <v>32</v>
      </c>
      <c r="H40">
        <v>68</v>
      </c>
      <c r="I40">
        <v>1685</v>
      </c>
      <c r="J40">
        <v>114580</v>
      </c>
      <c r="K40">
        <v>1474</v>
      </c>
      <c r="L40">
        <v>100232</v>
      </c>
      <c r="M40">
        <v>14348</v>
      </c>
    </row>
    <row r="41" spans="1:13">
      <c r="A41">
        <v>40</v>
      </c>
      <c r="B41" s="65535">
        <v>44961</v>
      </c>
      <c r="C41" t="s">
        <v>33</v>
      </c>
      <c r="D41" t="s">
        <v>34</v>
      </c>
      <c r="E41" t="s">
        <v>15</v>
      </c>
      <c r="F41" t="s">
        <v>29</v>
      </c>
      <c r="G41" t="s">
        <v>17</v>
      </c>
      <c r="H41">
        <v>138</v>
      </c>
      <c r="I41">
        <v>1004</v>
      </c>
      <c r="J41">
        <v>138552</v>
      </c>
      <c r="K41">
        <v>302</v>
      </c>
      <c r="L41">
        <v>41676</v>
      </c>
      <c r="M41">
        <v>96876</v>
      </c>
    </row>
    <row r="42" spans="1:13">
      <c r="A42">
        <v>41</v>
      </c>
      <c r="B42" s="65535">
        <v>45262</v>
      </c>
      <c r="C42" t="s">
        <v>13</v>
      </c>
      <c r="D42" t="s">
        <v>23</v>
      </c>
      <c r="E42" t="s">
        <v>20</v>
      </c>
      <c r="F42" t="s">
        <v>44</v>
      </c>
      <c r="G42" t="s">
        <v>17</v>
      </c>
      <c r="H42">
        <v>130</v>
      </c>
      <c r="I42">
        <v>1019</v>
      </c>
      <c r="J42">
        <v>132470</v>
      </c>
      <c r="K42">
        <v>391</v>
      </c>
      <c r="L42">
        <v>50830</v>
      </c>
      <c r="M42">
        <v>81640</v>
      </c>
    </row>
    <row r="43" spans="1:13">
      <c r="A43">
        <v>42</v>
      </c>
      <c r="B43" s="65535">
        <v>45095</v>
      </c>
      <c r="C43" t="s">
        <v>33</v>
      </c>
      <c r="D43" t="s">
        <v>46</v>
      </c>
      <c r="E43" t="s">
        <v>20</v>
      </c>
      <c r="F43" t="s">
        <v>21</v>
      </c>
      <c r="G43" t="s">
        <v>32</v>
      </c>
      <c r="H43">
        <v>325</v>
      </c>
      <c r="I43">
        <v>2704</v>
      </c>
      <c r="J43">
        <v>878800</v>
      </c>
      <c r="K43">
        <v>2492</v>
      </c>
      <c r="L43">
        <v>809900</v>
      </c>
      <c r="M43">
        <v>68900</v>
      </c>
    </row>
    <row r="44" spans="1:13">
      <c r="A44">
        <v>43</v>
      </c>
      <c r="B44" s="65535">
        <v>44929</v>
      </c>
      <c r="C44" t="s">
        <v>18</v>
      </c>
      <c r="D44" t="s">
        <v>47</v>
      </c>
      <c r="E44" t="s">
        <v>20</v>
      </c>
      <c r="F44" t="s">
        <v>21</v>
      </c>
      <c r="G44" t="s">
        <v>22</v>
      </c>
      <c r="H44">
        <v>170</v>
      </c>
      <c r="I44">
        <v>2216</v>
      </c>
      <c r="J44">
        <v>376720</v>
      </c>
      <c r="K44">
        <v>1007</v>
      </c>
      <c r="L44">
        <v>171190</v>
      </c>
      <c r="M44">
        <v>205530</v>
      </c>
    </row>
    <row r="45" spans="1:13">
      <c r="A45">
        <v>44</v>
      </c>
      <c r="B45" s="65535">
        <v>45096</v>
      </c>
      <c r="C45" t="s">
        <v>13</v>
      </c>
      <c r="D45" t="s">
        <v>23</v>
      </c>
      <c r="E45" t="s">
        <v>20</v>
      </c>
      <c r="F45" t="s">
        <v>44</v>
      </c>
      <c r="G45" t="s">
        <v>17</v>
      </c>
      <c r="H45">
        <v>459</v>
      </c>
      <c r="I45">
        <v>4131</v>
      </c>
      <c r="J45">
        <v>1896129</v>
      </c>
      <c r="K45">
        <v>1995</v>
      </c>
      <c r="L45">
        <v>915705</v>
      </c>
      <c r="M45">
        <v>980424</v>
      </c>
    </row>
    <row r="46" spans="1:13">
      <c r="A46">
        <v>45</v>
      </c>
      <c r="B46" s="65535">
        <v>44982</v>
      </c>
      <c r="C46" t="s">
        <v>13</v>
      </c>
      <c r="D46" t="s">
        <v>23</v>
      </c>
      <c r="E46" t="s">
        <v>20</v>
      </c>
      <c r="F46" t="s">
        <v>21</v>
      </c>
      <c r="G46" t="s">
        <v>17</v>
      </c>
      <c r="H46">
        <v>99</v>
      </c>
      <c r="I46">
        <v>871</v>
      </c>
      <c r="J46">
        <v>86229</v>
      </c>
      <c r="K46">
        <v>387</v>
      </c>
      <c r="L46">
        <v>38313</v>
      </c>
      <c r="M46">
        <v>47916</v>
      </c>
    </row>
    <row r="47" spans="1:13">
      <c r="A47">
        <v>46</v>
      </c>
      <c r="B47" s="65535">
        <v>44966</v>
      </c>
      <c r="C47" t="s">
        <v>18</v>
      </c>
      <c r="D47" t="s">
        <v>38</v>
      </c>
      <c r="E47" t="s">
        <v>20</v>
      </c>
      <c r="F47" t="s">
        <v>28</v>
      </c>
      <c r="G47" t="s">
        <v>17</v>
      </c>
      <c r="H47">
        <v>382</v>
      </c>
      <c r="I47">
        <v>817</v>
      </c>
      <c r="J47">
        <v>312094</v>
      </c>
      <c r="K47">
        <v>119</v>
      </c>
      <c r="L47">
        <v>45458</v>
      </c>
      <c r="M47">
        <v>266636</v>
      </c>
    </row>
    <row r="48" spans="1:13">
      <c r="A48">
        <v>47</v>
      </c>
      <c r="B48" s="65535">
        <v>45060</v>
      </c>
      <c r="C48" t="s">
        <v>33</v>
      </c>
      <c r="D48" t="s">
        <v>34</v>
      </c>
      <c r="E48" t="s">
        <v>30</v>
      </c>
      <c r="F48" t="s">
        <v>37</v>
      </c>
      <c r="G48" t="s">
        <v>17</v>
      </c>
      <c r="H48">
        <v>288</v>
      </c>
      <c r="I48">
        <v>4621</v>
      </c>
      <c r="J48">
        <v>1330848</v>
      </c>
      <c r="K48">
        <v>3967</v>
      </c>
      <c r="L48">
        <v>1142496</v>
      </c>
      <c r="M48">
        <v>188352</v>
      </c>
    </row>
    <row r="49" spans="1:13">
      <c r="A49">
        <v>48</v>
      </c>
      <c r="B49" s="65535">
        <v>45075</v>
      </c>
      <c r="C49" t="s">
        <v>18</v>
      </c>
      <c r="D49" t="s">
        <v>47</v>
      </c>
      <c r="E49" t="s">
        <v>24</v>
      </c>
      <c r="F49" t="s">
        <v>25</v>
      </c>
      <c r="G49" t="s">
        <v>17</v>
      </c>
      <c r="H49">
        <v>78</v>
      </c>
      <c r="I49">
        <v>4006</v>
      </c>
      <c r="J49">
        <v>312468</v>
      </c>
      <c r="K49">
        <v>2152</v>
      </c>
      <c r="L49">
        <v>167856</v>
      </c>
      <c r="M49">
        <v>144612</v>
      </c>
    </row>
    <row r="50" spans="1:13">
      <c r="A50">
        <v>49</v>
      </c>
      <c r="B50" s="65535">
        <v>45266</v>
      </c>
      <c r="C50" t="s">
        <v>33</v>
      </c>
      <c r="D50" t="s">
        <v>34</v>
      </c>
      <c r="E50" t="s">
        <v>20</v>
      </c>
      <c r="F50" t="s">
        <v>28</v>
      </c>
      <c r="G50" t="s">
        <v>22</v>
      </c>
      <c r="H50">
        <v>132</v>
      </c>
      <c r="I50">
        <v>1558</v>
      </c>
      <c r="J50">
        <v>205656</v>
      </c>
      <c r="K50">
        <v>1152</v>
      </c>
      <c r="L50">
        <v>152064</v>
      </c>
      <c r="M50">
        <v>53592</v>
      </c>
    </row>
    <row r="51" spans="1:13">
      <c r="A51">
        <v>50</v>
      </c>
      <c r="B51" s="65535">
        <v>45216</v>
      </c>
      <c r="C51" t="s">
        <v>18</v>
      </c>
      <c r="D51" t="s">
        <v>19</v>
      </c>
      <c r="E51" t="s">
        <v>30</v>
      </c>
      <c r="F51" t="s">
        <v>37</v>
      </c>
      <c r="G51" t="s">
        <v>17</v>
      </c>
      <c r="H51">
        <v>347</v>
      </c>
      <c r="I51">
        <v>1397</v>
      </c>
      <c r="J51">
        <v>484759</v>
      </c>
      <c r="K51">
        <v>1090</v>
      </c>
      <c r="L51">
        <v>378230</v>
      </c>
      <c r="M51">
        <v>106529</v>
      </c>
    </row>
    <row r="52" spans="1:13">
      <c r="A52">
        <v>51</v>
      </c>
      <c r="B52" s="65535">
        <v>44959</v>
      </c>
      <c r="C52" t="s">
        <v>26</v>
      </c>
      <c r="D52" t="s">
        <v>51</v>
      </c>
      <c r="E52" t="s">
        <v>30</v>
      </c>
      <c r="F52" t="s">
        <v>40</v>
      </c>
      <c r="G52" t="s">
        <v>22</v>
      </c>
      <c r="H52">
        <v>145</v>
      </c>
      <c r="I52">
        <v>3226</v>
      </c>
      <c r="J52">
        <v>467770</v>
      </c>
      <c r="K52">
        <v>1058</v>
      </c>
      <c r="L52">
        <v>153410</v>
      </c>
      <c r="M52">
        <v>314360</v>
      </c>
    </row>
    <row r="53" spans="1:13">
      <c r="A53">
        <v>52</v>
      </c>
      <c r="B53" s="65535">
        <v>45159</v>
      </c>
      <c r="C53" t="s">
        <v>33</v>
      </c>
      <c r="D53" t="s">
        <v>46</v>
      </c>
      <c r="E53" t="s">
        <v>20</v>
      </c>
      <c r="F53" t="s">
        <v>21</v>
      </c>
      <c r="G53" t="s">
        <v>32</v>
      </c>
      <c r="H53">
        <v>461</v>
      </c>
      <c r="I53">
        <v>580</v>
      </c>
      <c r="J53">
        <v>267380</v>
      </c>
      <c r="K53">
        <v>120</v>
      </c>
      <c r="L53">
        <v>55320</v>
      </c>
      <c r="M53">
        <v>212060</v>
      </c>
    </row>
    <row r="54" spans="1:13">
      <c r="A54">
        <v>53</v>
      </c>
      <c r="B54" s="65535">
        <v>45223</v>
      </c>
      <c r="C54" t="s">
        <v>26</v>
      </c>
      <c r="D54" t="s">
        <v>51</v>
      </c>
      <c r="E54" t="s">
        <v>20</v>
      </c>
      <c r="F54" t="s">
        <v>28</v>
      </c>
      <c r="G54" t="s">
        <v>32</v>
      </c>
      <c r="H54">
        <v>288</v>
      </c>
      <c r="I54">
        <v>4870</v>
      </c>
      <c r="J54">
        <v>1402560</v>
      </c>
      <c r="K54">
        <v>1524</v>
      </c>
      <c r="L54">
        <v>438912</v>
      </c>
      <c r="M54">
        <v>963648</v>
      </c>
    </row>
    <row r="55" spans="1:13">
      <c r="A55">
        <v>54</v>
      </c>
      <c r="B55" s="65535">
        <v>44966</v>
      </c>
      <c r="C55" t="s">
        <v>13</v>
      </c>
      <c r="D55" t="s">
        <v>42</v>
      </c>
      <c r="E55" t="s">
        <v>20</v>
      </c>
      <c r="F55" t="s">
        <v>28</v>
      </c>
      <c r="G55" t="s">
        <v>17</v>
      </c>
      <c r="H55">
        <v>274</v>
      </c>
      <c r="I55">
        <v>2260</v>
      </c>
      <c r="J55">
        <v>619240</v>
      </c>
      <c r="K55">
        <v>1641</v>
      </c>
      <c r="L55">
        <v>449634</v>
      </c>
      <c r="M55">
        <v>169606</v>
      </c>
    </row>
    <row r="56" spans="1:13">
      <c r="A56">
        <v>55</v>
      </c>
      <c r="B56" s="65535">
        <v>45173</v>
      </c>
      <c r="C56" t="s">
        <v>18</v>
      </c>
      <c r="D56" t="s">
        <v>19</v>
      </c>
      <c r="E56" t="s">
        <v>20</v>
      </c>
      <c r="F56" t="s">
        <v>21</v>
      </c>
      <c r="G56" t="s">
        <v>32</v>
      </c>
      <c r="H56">
        <v>464</v>
      </c>
      <c r="I56">
        <v>254</v>
      </c>
      <c r="J56">
        <v>117856</v>
      </c>
      <c r="K56">
        <v>164</v>
      </c>
      <c r="L56">
        <v>76096</v>
      </c>
      <c r="M56">
        <v>41760</v>
      </c>
    </row>
    <row r="57" spans="1:13">
      <c r="A57">
        <v>56</v>
      </c>
      <c r="B57" s="65535">
        <v>45190</v>
      </c>
      <c r="C57" t="s">
        <v>18</v>
      </c>
      <c r="D57" t="s">
        <v>19</v>
      </c>
      <c r="E57" t="s">
        <v>30</v>
      </c>
      <c r="F57" t="s">
        <v>37</v>
      </c>
      <c r="G57" t="s">
        <v>22</v>
      </c>
      <c r="H57">
        <v>339</v>
      </c>
      <c r="I57">
        <v>2500</v>
      </c>
      <c r="J57">
        <v>847500</v>
      </c>
      <c r="K57">
        <v>966</v>
      </c>
      <c r="L57">
        <v>327474</v>
      </c>
      <c r="M57">
        <v>520026</v>
      </c>
    </row>
    <row r="58" spans="1:13">
      <c r="A58">
        <v>57</v>
      </c>
      <c r="B58" s="65535">
        <v>44987</v>
      </c>
      <c r="C58" t="s">
        <v>18</v>
      </c>
      <c r="D58" t="s">
        <v>38</v>
      </c>
      <c r="E58" t="s">
        <v>30</v>
      </c>
      <c r="F58" t="s">
        <v>40</v>
      </c>
      <c r="G58" t="s">
        <v>17</v>
      </c>
      <c r="H58">
        <v>348</v>
      </c>
      <c r="I58">
        <v>2086</v>
      </c>
      <c r="J58">
        <v>725928</v>
      </c>
      <c r="K58">
        <v>949</v>
      </c>
      <c r="L58">
        <v>330252</v>
      </c>
      <c r="M58">
        <v>395676</v>
      </c>
    </row>
    <row r="59" spans="1:13">
      <c r="A59">
        <v>58</v>
      </c>
      <c r="B59" s="65535">
        <v>45172</v>
      </c>
      <c r="C59" t="s">
        <v>26</v>
      </c>
      <c r="D59" t="s">
        <v>51</v>
      </c>
      <c r="E59" t="s">
        <v>24</v>
      </c>
      <c r="F59" t="s">
        <v>35</v>
      </c>
      <c r="G59" t="s">
        <v>32</v>
      </c>
      <c r="H59">
        <v>117</v>
      </c>
      <c r="I59">
        <v>1520</v>
      </c>
      <c r="J59">
        <v>177840</v>
      </c>
      <c r="K59">
        <v>1425</v>
      </c>
      <c r="L59">
        <v>166725</v>
      </c>
      <c r="M59">
        <v>11115</v>
      </c>
    </row>
    <row r="60" spans="1:13">
      <c r="A60">
        <v>59</v>
      </c>
      <c r="B60" s="65535">
        <v>45220</v>
      </c>
      <c r="C60" t="s">
        <v>13</v>
      </c>
      <c r="D60" t="s">
        <v>14</v>
      </c>
      <c r="E60" t="s">
        <v>30</v>
      </c>
      <c r="F60" t="s">
        <v>37</v>
      </c>
      <c r="G60" t="s">
        <v>22</v>
      </c>
      <c r="H60">
        <v>313</v>
      </c>
      <c r="I60">
        <v>1519</v>
      </c>
      <c r="J60">
        <v>475447</v>
      </c>
      <c r="K60">
        <v>375</v>
      </c>
      <c r="L60">
        <v>117375</v>
      </c>
      <c r="M60">
        <v>358072</v>
      </c>
    </row>
    <row r="61" spans="1:13">
      <c r="A61">
        <v>60</v>
      </c>
      <c r="B61" s="65535">
        <v>45019</v>
      </c>
      <c r="C61" t="s">
        <v>33</v>
      </c>
      <c r="D61" t="s">
        <v>46</v>
      </c>
      <c r="E61" t="s">
        <v>15</v>
      </c>
      <c r="F61" t="s">
        <v>16</v>
      </c>
      <c r="G61" t="s">
        <v>32</v>
      </c>
      <c r="H61">
        <v>274</v>
      </c>
      <c r="I61">
        <v>3521</v>
      </c>
      <c r="J61">
        <v>964754</v>
      </c>
      <c r="K61">
        <v>2554</v>
      </c>
      <c r="L61">
        <v>699796</v>
      </c>
      <c r="M61">
        <v>264958</v>
      </c>
    </row>
    <row r="62" spans="1:13">
      <c r="A62">
        <v>61</v>
      </c>
      <c r="B62" s="65535">
        <v>45237</v>
      </c>
      <c r="C62" t="s">
        <v>33</v>
      </c>
      <c r="D62" t="s">
        <v>41</v>
      </c>
      <c r="E62" t="s">
        <v>15</v>
      </c>
      <c r="F62" t="s">
        <v>16</v>
      </c>
      <c r="G62" t="s">
        <v>32</v>
      </c>
      <c r="H62">
        <v>251</v>
      </c>
      <c r="I62">
        <v>4145</v>
      </c>
      <c r="J62">
        <v>1040395</v>
      </c>
      <c r="K62">
        <v>798</v>
      </c>
      <c r="L62">
        <v>200298</v>
      </c>
      <c r="M62">
        <v>840097</v>
      </c>
    </row>
    <row r="63" spans="1:13">
      <c r="A63">
        <v>62</v>
      </c>
      <c r="B63" s="65535">
        <v>45246</v>
      </c>
      <c r="C63" t="s">
        <v>18</v>
      </c>
      <c r="D63" t="s">
        <v>19</v>
      </c>
      <c r="E63" t="s">
        <v>30</v>
      </c>
      <c r="F63" t="s">
        <v>31</v>
      </c>
      <c r="G63" t="s">
        <v>22</v>
      </c>
      <c r="H63">
        <v>347</v>
      </c>
      <c r="I63">
        <v>4384</v>
      </c>
      <c r="J63">
        <v>1521248</v>
      </c>
      <c r="K63">
        <v>2266</v>
      </c>
      <c r="L63">
        <v>786302</v>
      </c>
      <c r="M63">
        <v>734946</v>
      </c>
    </row>
    <row r="64" spans="1:13">
      <c r="A64">
        <v>63</v>
      </c>
      <c r="B64" s="65535">
        <v>44962</v>
      </c>
      <c r="C64" t="s">
        <v>18</v>
      </c>
      <c r="D64" t="s">
        <v>47</v>
      </c>
      <c r="E64" t="s">
        <v>24</v>
      </c>
      <c r="F64" t="s">
        <v>35</v>
      </c>
      <c r="G64" t="s">
        <v>17</v>
      </c>
      <c r="H64">
        <v>127</v>
      </c>
      <c r="I64">
        <v>3298</v>
      </c>
      <c r="J64">
        <v>418846</v>
      </c>
      <c r="K64">
        <v>1678</v>
      </c>
      <c r="L64">
        <v>213106</v>
      </c>
      <c r="M64">
        <v>205740</v>
      </c>
    </row>
    <row r="65" spans="1:13">
      <c r="A65">
        <v>64</v>
      </c>
      <c r="B65" s="65535">
        <v>45185</v>
      </c>
      <c r="C65" t="s">
        <v>18</v>
      </c>
      <c r="D65" t="s">
        <v>50</v>
      </c>
      <c r="E65" t="s">
        <v>15</v>
      </c>
      <c r="F65" t="s">
        <v>16</v>
      </c>
      <c r="G65" t="s">
        <v>17</v>
      </c>
      <c r="H65">
        <v>360</v>
      </c>
      <c r="I65">
        <v>3638</v>
      </c>
      <c r="J65">
        <v>1309680</v>
      </c>
      <c r="K65">
        <v>3485</v>
      </c>
      <c r="L65">
        <v>1254600</v>
      </c>
      <c r="M65">
        <v>55080</v>
      </c>
    </row>
    <row r="66" spans="1:13">
      <c r="A66">
        <v>65</v>
      </c>
      <c r="B66" s="65535">
        <v>45234</v>
      </c>
      <c r="C66" t="s">
        <v>18</v>
      </c>
      <c r="D66" t="s">
        <v>50</v>
      </c>
      <c r="E66" t="s">
        <v>30</v>
      </c>
      <c r="F66" t="s">
        <v>40</v>
      </c>
      <c r="G66" t="s">
        <v>17</v>
      </c>
      <c r="H66">
        <v>29</v>
      </c>
      <c r="I66">
        <v>4553</v>
      </c>
      <c r="J66">
        <v>132037</v>
      </c>
      <c r="K66">
        <v>4223</v>
      </c>
      <c r="L66">
        <v>122467</v>
      </c>
      <c r="M66">
        <v>9570</v>
      </c>
    </row>
    <row r="67" spans="1:13">
      <c r="A67">
        <v>66</v>
      </c>
      <c r="B67" s="65535">
        <v>45235</v>
      </c>
      <c r="C67" t="s">
        <v>33</v>
      </c>
      <c r="D67" t="s">
        <v>39</v>
      </c>
      <c r="E67" t="s">
        <v>24</v>
      </c>
      <c r="F67" t="s">
        <v>35</v>
      </c>
      <c r="G67" t="s">
        <v>22</v>
      </c>
      <c r="H67">
        <v>286</v>
      </c>
      <c r="I67">
        <v>209</v>
      </c>
      <c r="J67">
        <v>59774</v>
      </c>
      <c r="K67">
        <v>157</v>
      </c>
      <c r="L67">
        <v>44902</v>
      </c>
      <c r="M67">
        <v>14872</v>
      </c>
    </row>
    <row r="68" spans="1:13">
      <c r="A68">
        <v>67</v>
      </c>
      <c r="B68" s="65535">
        <v>45198</v>
      </c>
      <c r="C68" t="s">
        <v>13</v>
      </c>
      <c r="D68" t="s">
        <v>42</v>
      </c>
      <c r="E68" t="s">
        <v>20</v>
      </c>
      <c r="F68" t="s">
        <v>44</v>
      </c>
      <c r="G68" t="s">
        <v>17</v>
      </c>
      <c r="H68">
        <v>229</v>
      </c>
      <c r="I68">
        <v>2079</v>
      </c>
      <c r="J68">
        <v>476091</v>
      </c>
      <c r="K68">
        <v>2021</v>
      </c>
      <c r="L68">
        <v>462809</v>
      </c>
      <c r="M68">
        <v>13282</v>
      </c>
    </row>
    <row r="69" spans="1:13">
      <c r="A69">
        <v>68</v>
      </c>
      <c r="B69" s="65535">
        <v>45283</v>
      </c>
      <c r="C69" t="s">
        <v>13</v>
      </c>
      <c r="D69" t="s">
        <v>42</v>
      </c>
      <c r="E69" t="s">
        <v>20</v>
      </c>
      <c r="F69" t="s">
        <v>28</v>
      </c>
      <c r="G69" t="s">
        <v>17</v>
      </c>
      <c r="H69">
        <v>304</v>
      </c>
      <c r="I69">
        <v>1000</v>
      </c>
      <c r="J69">
        <v>304000</v>
      </c>
      <c r="K69">
        <v>535</v>
      </c>
      <c r="L69">
        <v>162640</v>
      </c>
      <c r="M69">
        <v>141360</v>
      </c>
    </row>
    <row r="70" spans="1:13">
      <c r="A70">
        <v>69</v>
      </c>
      <c r="B70" s="65535">
        <v>45072</v>
      </c>
      <c r="C70" t="s">
        <v>18</v>
      </c>
      <c r="D70" t="s">
        <v>47</v>
      </c>
      <c r="E70" t="s">
        <v>24</v>
      </c>
      <c r="F70" t="s">
        <v>25</v>
      </c>
      <c r="G70" t="s">
        <v>22</v>
      </c>
      <c r="H70">
        <v>316</v>
      </c>
      <c r="I70">
        <v>4654</v>
      </c>
      <c r="J70">
        <v>1470664</v>
      </c>
      <c r="K70">
        <v>3447</v>
      </c>
      <c r="L70">
        <v>1089252</v>
      </c>
      <c r="M70">
        <v>381412</v>
      </c>
    </row>
    <row r="71" spans="1:13">
      <c r="A71">
        <v>70</v>
      </c>
      <c r="B71" s="65535">
        <v>44930</v>
      </c>
      <c r="C71" t="s">
        <v>26</v>
      </c>
      <c r="D71" t="s">
        <v>36</v>
      </c>
      <c r="E71" t="s">
        <v>15</v>
      </c>
      <c r="F71" t="s">
        <v>49</v>
      </c>
      <c r="G71" t="s">
        <v>17</v>
      </c>
      <c r="H71">
        <v>305</v>
      </c>
      <c r="I71">
        <v>4480</v>
      </c>
      <c r="J71">
        <v>1366400</v>
      </c>
      <c r="K71">
        <v>1065</v>
      </c>
      <c r="L71">
        <v>324825</v>
      </c>
      <c r="M71">
        <v>1041575</v>
      </c>
    </row>
    <row r="72" spans="1:13">
      <c r="A72">
        <v>71</v>
      </c>
      <c r="B72" s="65535">
        <v>45136</v>
      </c>
      <c r="C72" t="s">
        <v>33</v>
      </c>
      <c r="D72" t="s">
        <v>34</v>
      </c>
      <c r="E72" t="s">
        <v>30</v>
      </c>
      <c r="F72" t="s">
        <v>31</v>
      </c>
      <c r="G72" t="s">
        <v>32</v>
      </c>
      <c r="H72">
        <v>195</v>
      </c>
      <c r="I72">
        <v>1073</v>
      </c>
      <c r="J72">
        <v>209235</v>
      </c>
      <c r="K72">
        <v>258</v>
      </c>
      <c r="L72">
        <v>50310</v>
      </c>
      <c r="M72">
        <v>158925</v>
      </c>
    </row>
    <row r="73" spans="1:13">
      <c r="A73">
        <v>72</v>
      </c>
      <c r="B73" s="65535">
        <v>45216</v>
      </c>
      <c r="C73" t="s">
        <v>13</v>
      </c>
      <c r="D73" t="s">
        <v>23</v>
      </c>
      <c r="E73" t="s">
        <v>20</v>
      </c>
      <c r="F73" t="s">
        <v>28</v>
      </c>
      <c r="G73" t="s">
        <v>32</v>
      </c>
      <c r="H73">
        <v>197</v>
      </c>
      <c r="I73">
        <v>2457</v>
      </c>
      <c r="J73">
        <v>484029</v>
      </c>
      <c r="K73">
        <v>1727</v>
      </c>
      <c r="L73">
        <v>340219</v>
      </c>
      <c r="M73">
        <v>143810</v>
      </c>
    </row>
    <row r="74" spans="1:13">
      <c r="A74">
        <v>73</v>
      </c>
      <c r="B74" s="65535">
        <v>45213</v>
      </c>
      <c r="C74" t="s">
        <v>18</v>
      </c>
      <c r="D74" t="s">
        <v>19</v>
      </c>
      <c r="E74" t="s">
        <v>24</v>
      </c>
      <c r="F74" t="s">
        <v>25</v>
      </c>
      <c r="G74" t="s">
        <v>32</v>
      </c>
      <c r="H74">
        <v>294</v>
      </c>
      <c r="I74">
        <v>4162</v>
      </c>
      <c r="J74">
        <v>1223628</v>
      </c>
      <c r="K74">
        <v>1139</v>
      </c>
      <c r="L74">
        <v>334866</v>
      </c>
      <c r="M74">
        <v>888762</v>
      </c>
    </row>
    <row r="75" spans="1:13">
      <c r="A75">
        <v>74</v>
      </c>
      <c r="B75" s="65535">
        <v>45264</v>
      </c>
      <c r="C75" t="s">
        <v>26</v>
      </c>
      <c r="D75" t="s">
        <v>27</v>
      </c>
      <c r="E75" t="s">
        <v>24</v>
      </c>
      <c r="F75" t="s">
        <v>35</v>
      </c>
      <c r="G75" t="s">
        <v>22</v>
      </c>
      <c r="H75">
        <v>70</v>
      </c>
      <c r="I75">
        <v>2082</v>
      </c>
      <c r="J75">
        <v>145740</v>
      </c>
      <c r="K75">
        <v>1014</v>
      </c>
      <c r="L75">
        <v>70980</v>
      </c>
      <c r="M75">
        <v>74760</v>
      </c>
    </row>
    <row r="76" spans="1:13">
      <c r="A76">
        <v>75</v>
      </c>
      <c r="B76" s="65535">
        <v>45100</v>
      </c>
      <c r="C76" t="s">
        <v>18</v>
      </c>
      <c r="D76" t="s">
        <v>50</v>
      </c>
      <c r="E76" t="s">
        <v>30</v>
      </c>
      <c r="F76" t="s">
        <v>31</v>
      </c>
      <c r="G76" t="s">
        <v>32</v>
      </c>
      <c r="H76">
        <v>420</v>
      </c>
      <c r="I76">
        <v>4710</v>
      </c>
      <c r="J76">
        <v>1978200</v>
      </c>
      <c r="K76">
        <v>526</v>
      </c>
      <c r="L76">
        <v>220920</v>
      </c>
      <c r="M76">
        <v>1757280</v>
      </c>
    </row>
    <row r="77" spans="1:13">
      <c r="A77">
        <v>76</v>
      </c>
      <c r="B77" s="65535">
        <v>45168</v>
      </c>
      <c r="C77" t="s">
        <v>18</v>
      </c>
      <c r="D77" t="s">
        <v>19</v>
      </c>
      <c r="E77" t="s">
        <v>15</v>
      </c>
      <c r="F77" t="s">
        <v>16</v>
      </c>
      <c r="G77" t="s">
        <v>22</v>
      </c>
      <c r="H77">
        <v>484</v>
      </c>
      <c r="I77">
        <v>3766</v>
      </c>
      <c r="J77">
        <v>1822744</v>
      </c>
      <c r="K77">
        <v>461</v>
      </c>
      <c r="L77">
        <v>223124</v>
      </c>
      <c r="M77">
        <v>1599620</v>
      </c>
    </row>
    <row r="78" spans="1:13">
      <c r="A78">
        <v>77</v>
      </c>
      <c r="B78" s="65535">
        <v>45238</v>
      </c>
      <c r="C78" t="s">
        <v>33</v>
      </c>
      <c r="D78" t="s">
        <v>41</v>
      </c>
      <c r="E78" t="s">
        <v>30</v>
      </c>
      <c r="F78" t="s">
        <v>40</v>
      </c>
      <c r="G78" t="s">
        <v>22</v>
      </c>
      <c r="H78">
        <v>29</v>
      </c>
      <c r="I78">
        <v>3348</v>
      </c>
      <c r="J78">
        <v>97092</v>
      </c>
      <c r="K78">
        <v>1741</v>
      </c>
      <c r="L78">
        <v>50489</v>
      </c>
      <c r="M78">
        <v>46603</v>
      </c>
    </row>
    <row r="79" spans="1:13">
      <c r="A79">
        <v>78</v>
      </c>
      <c r="B79" s="65535">
        <v>45151</v>
      </c>
      <c r="C79" t="s">
        <v>26</v>
      </c>
      <c r="D79" t="s">
        <v>51</v>
      </c>
      <c r="E79" t="s">
        <v>30</v>
      </c>
      <c r="F79" t="s">
        <v>31</v>
      </c>
      <c r="G79" t="s">
        <v>32</v>
      </c>
      <c r="H79">
        <v>15</v>
      </c>
      <c r="I79">
        <v>1852</v>
      </c>
      <c r="J79">
        <v>27780</v>
      </c>
      <c r="K79">
        <v>1445</v>
      </c>
      <c r="L79">
        <v>21675</v>
      </c>
      <c r="M79">
        <v>6105</v>
      </c>
    </row>
    <row r="80" spans="1:13">
      <c r="A80">
        <v>79</v>
      </c>
      <c r="B80" s="65535">
        <v>45191</v>
      </c>
      <c r="C80" t="s">
        <v>26</v>
      </c>
      <c r="D80" t="s">
        <v>36</v>
      </c>
      <c r="E80" t="s">
        <v>15</v>
      </c>
      <c r="F80" t="s">
        <v>49</v>
      </c>
      <c r="G80" t="s">
        <v>17</v>
      </c>
      <c r="H80">
        <v>367</v>
      </c>
      <c r="I80">
        <v>2097</v>
      </c>
      <c r="J80">
        <v>769599</v>
      </c>
      <c r="K80">
        <v>1359</v>
      </c>
      <c r="L80">
        <v>498753</v>
      </c>
      <c r="M80">
        <v>270846</v>
      </c>
    </row>
    <row r="81" spans="1:13">
      <c r="A81">
        <v>80</v>
      </c>
      <c r="B81" s="65535">
        <v>44927</v>
      </c>
      <c r="C81" t="s">
        <v>18</v>
      </c>
      <c r="D81" t="s">
        <v>50</v>
      </c>
      <c r="E81" t="s">
        <v>20</v>
      </c>
      <c r="F81" t="s">
        <v>44</v>
      </c>
      <c r="G81" t="s">
        <v>17</v>
      </c>
      <c r="H81">
        <v>90</v>
      </c>
      <c r="I81">
        <v>911</v>
      </c>
      <c r="J81">
        <v>81990</v>
      </c>
      <c r="K81">
        <v>382</v>
      </c>
      <c r="L81">
        <v>34380</v>
      </c>
      <c r="M81">
        <v>47610</v>
      </c>
    </row>
    <row r="82" spans="1:13">
      <c r="A82">
        <v>81</v>
      </c>
      <c r="B82" s="65535">
        <v>45029</v>
      </c>
      <c r="C82" t="s">
        <v>13</v>
      </c>
      <c r="D82" t="s">
        <v>23</v>
      </c>
      <c r="E82" t="s">
        <v>24</v>
      </c>
      <c r="F82" t="s">
        <v>48</v>
      </c>
      <c r="G82" t="s">
        <v>17</v>
      </c>
      <c r="H82">
        <v>275</v>
      </c>
      <c r="I82">
        <v>325</v>
      </c>
      <c r="J82">
        <v>89375</v>
      </c>
      <c r="K82">
        <v>117</v>
      </c>
      <c r="L82">
        <v>32175</v>
      </c>
      <c r="M82">
        <v>57200</v>
      </c>
    </row>
    <row r="83" spans="1:13">
      <c r="A83">
        <v>82</v>
      </c>
      <c r="B83" s="65535">
        <v>45042</v>
      </c>
      <c r="C83" t="s">
        <v>33</v>
      </c>
      <c r="D83" t="s">
        <v>41</v>
      </c>
      <c r="E83" t="s">
        <v>20</v>
      </c>
      <c r="F83" t="s">
        <v>21</v>
      </c>
      <c r="G83" t="s">
        <v>32</v>
      </c>
      <c r="H83">
        <v>320</v>
      </c>
      <c r="I83">
        <v>1793</v>
      </c>
      <c r="J83">
        <v>573760</v>
      </c>
      <c r="K83">
        <v>1031</v>
      </c>
      <c r="L83">
        <v>329920</v>
      </c>
      <c r="M83">
        <v>243840</v>
      </c>
    </row>
    <row r="84" spans="1:13">
      <c r="A84">
        <v>83</v>
      </c>
      <c r="B84" s="65535">
        <v>45186</v>
      </c>
      <c r="C84" t="s">
        <v>13</v>
      </c>
      <c r="D84" t="s">
        <v>14</v>
      </c>
      <c r="E84" t="s">
        <v>20</v>
      </c>
      <c r="F84" t="s">
        <v>44</v>
      </c>
      <c r="G84" t="s">
        <v>32</v>
      </c>
      <c r="H84">
        <v>64</v>
      </c>
      <c r="I84">
        <v>4776</v>
      </c>
      <c r="J84">
        <v>305664</v>
      </c>
      <c r="K84">
        <v>692</v>
      </c>
      <c r="L84">
        <v>44288</v>
      </c>
      <c r="M84">
        <v>261376</v>
      </c>
    </row>
    <row r="85" spans="1:13">
      <c r="A85">
        <v>84</v>
      </c>
      <c r="B85" s="65535">
        <v>45202</v>
      </c>
      <c r="C85" t="s">
        <v>26</v>
      </c>
      <c r="D85" t="s">
        <v>27</v>
      </c>
      <c r="E85" t="s">
        <v>15</v>
      </c>
      <c r="F85" t="s">
        <v>49</v>
      </c>
      <c r="G85" t="s">
        <v>32</v>
      </c>
      <c r="H85">
        <v>426</v>
      </c>
      <c r="I85">
        <v>4909</v>
      </c>
      <c r="J85">
        <v>2091234</v>
      </c>
      <c r="K85">
        <v>2149</v>
      </c>
      <c r="L85">
        <v>915474</v>
      </c>
      <c r="M85">
        <v>1175760</v>
      </c>
    </row>
    <row r="86" spans="1:13">
      <c r="A86">
        <v>85</v>
      </c>
      <c r="B86" s="65535">
        <v>45161</v>
      </c>
      <c r="C86" t="s">
        <v>13</v>
      </c>
      <c r="D86" t="s">
        <v>42</v>
      </c>
      <c r="E86" t="s">
        <v>24</v>
      </c>
      <c r="F86" t="s">
        <v>25</v>
      </c>
      <c r="G86" t="s">
        <v>32</v>
      </c>
      <c r="H86">
        <v>358</v>
      </c>
      <c r="I86">
        <v>3974</v>
      </c>
      <c r="J86">
        <v>1422692</v>
      </c>
      <c r="K86">
        <v>3772</v>
      </c>
      <c r="L86">
        <v>1350376</v>
      </c>
      <c r="M86">
        <v>72316</v>
      </c>
    </row>
    <row r="87" spans="1:13">
      <c r="A87">
        <v>86</v>
      </c>
      <c r="B87" s="65535">
        <v>45122</v>
      </c>
      <c r="C87" t="s">
        <v>33</v>
      </c>
      <c r="D87" t="s">
        <v>34</v>
      </c>
      <c r="E87" t="s">
        <v>15</v>
      </c>
      <c r="F87" t="s">
        <v>29</v>
      </c>
      <c r="G87" t="s">
        <v>22</v>
      </c>
      <c r="H87">
        <v>334</v>
      </c>
      <c r="I87">
        <v>2005</v>
      </c>
      <c r="J87">
        <v>669670</v>
      </c>
      <c r="K87">
        <v>1486</v>
      </c>
      <c r="L87">
        <v>496324</v>
      </c>
      <c r="M87">
        <v>173346</v>
      </c>
    </row>
    <row r="88" spans="1:13">
      <c r="A88">
        <v>87</v>
      </c>
      <c r="B88" s="65535">
        <v>45201</v>
      </c>
      <c r="C88" t="s">
        <v>18</v>
      </c>
      <c r="D88" t="s">
        <v>47</v>
      </c>
      <c r="E88" t="s">
        <v>24</v>
      </c>
      <c r="F88" t="s">
        <v>48</v>
      </c>
      <c r="G88" t="s">
        <v>17</v>
      </c>
      <c r="H88">
        <v>14</v>
      </c>
      <c r="I88">
        <v>2357</v>
      </c>
      <c r="J88">
        <v>32998</v>
      </c>
      <c r="K88">
        <v>1116</v>
      </c>
      <c r="L88">
        <v>15624</v>
      </c>
      <c r="M88">
        <v>17374</v>
      </c>
    </row>
    <row r="89" spans="1:13">
      <c r="A89">
        <v>88</v>
      </c>
      <c r="B89" s="65535">
        <v>45102</v>
      </c>
      <c r="C89" t="s">
        <v>26</v>
      </c>
      <c r="D89" t="s">
        <v>51</v>
      </c>
      <c r="E89" t="s">
        <v>24</v>
      </c>
      <c r="F89" t="s">
        <v>35</v>
      </c>
      <c r="G89" t="s">
        <v>17</v>
      </c>
      <c r="H89">
        <v>48</v>
      </c>
      <c r="I89">
        <v>4742</v>
      </c>
      <c r="J89">
        <v>227616</v>
      </c>
      <c r="K89">
        <v>1562</v>
      </c>
      <c r="L89">
        <v>74976</v>
      </c>
      <c r="M89">
        <v>152640</v>
      </c>
    </row>
    <row r="90" spans="1:13">
      <c r="A90">
        <v>89</v>
      </c>
      <c r="B90" s="65535">
        <v>45064</v>
      </c>
      <c r="C90" t="s">
        <v>13</v>
      </c>
      <c r="D90" t="s">
        <v>23</v>
      </c>
      <c r="E90" t="s">
        <v>20</v>
      </c>
      <c r="F90" t="s">
        <v>44</v>
      </c>
      <c r="G90" t="s">
        <v>17</v>
      </c>
      <c r="H90">
        <v>103</v>
      </c>
      <c r="I90">
        <v>1757</v>
      </c>
      <c r="J90">
        <v>180971</v>
      </c>
      <c r="K90">
        <v>1121</v>
      </c>
      <c r="L90">
        <v>115463</v>
      </c>
      <c r="M90">
        <v>65508</v>
      </c>
    </row>
    <row r="91" spans="1:13">
      <c r="A91">
        <v>90</v>
      </c>
      <c r="B91" s="65535">
        <v>45044</v>
      </c>
      <c r="C91" t="s">
        <v>18</v>
      </c>
      <c r="D91" t="s">
        <v>38</v>
      </c>
      <c r="E91" t="s">
        <v>30</v>
      </c>
      <c r="F91" t="s">
        <v>40</v>
      </c>
      <c r="G91" t="s">
        <v>22</v>
      </c>
      <c r="H91">
        <v>113</v>
      </c>
      <c r="I91">
        <v>2245</v>
      </c>
      <c r="J91">
        <v>253685</v>
      </c>
      <c r="K91">
        <v>1558</v>
      </c>
      <c r="L91">
        <v>176054</v>
      </c>
      <c r="M91">
        <v>77631</v>
      </c>
    </row>
    <row r="92" spans="1:13">
      <c r="A92">
        <v>91</v>
      </c>
      <c r="B92" s="65535">
        <v>45266</v>
      </c>
      <c r="C92" t="s">
        <v>18</v>
      </c>
      <c r="D92" t="s">
        <v>50</v>
      </c>
      <c r="E92" t="s">
        <v>15</v>
      </c>
      <c r="F92" t="s">
        <v>16</v>
      </c>
      <c r="G92" t="s">
        <v>17</v>
      </c>
      <c r="H92">
        <v>262</v>
      </c>
      <c r="I92">
        <v>254</v>
      </c>
      <c r="J92">
        <v>66548</v>
      </c>
      <c r="K92">
        <v>197</v>
      </c>
      <c r="L92">
        <v>51614</v>
      </c>
      <c r="M92">
        <v>14934</v>
      </c>
    </row>
    <row r="93" spans="1:13">
      <c r="A93">
        <v>92</v>
      </c>
      <c r="B93" s="65535">
        <v>45179</v>
      </c>
      <c r="C93" t="s">
        <v>33</v>
      </c>
      <c r="D93" t="s">
        <v>34</v>
      </c>
      <c r="E93" t="s">
        <v>20</v>
      </c>
      <c r="F93" t="s">
        <v>28</v>
      </c>
      <c r="G93" t="s">
        <v>32</v>
      </c>
      <c r="H93">
        <v>469</v>
      </c>
      <c r="I93">
        <v>4906</v>
      </c>
      <c r="J93">
        <v>2300914</v>
      </c>
      <c r="K93">
        <v>2350</v>
      </c>
      <c r="L93">
        <v>1102150</v>
      </c>
      <c r="M93">
        <v>1198764</v>
      </c>
    </row>
    <row r="94" spans="1:13">
      <c r="A94">
        <v>93</v>
      </c>
      <c r="B94" s="65535">
        <v>45222</v>
      </c>
      <c r="C94" t="s">
        <v>13</v>
      </c>
      <c r="D94" t="s">
        <v>43</v>
      </c>
      <c r="E94" t="s">
        <v>20</v>
      </c>
      <c r="F94" t="s">
        <v>21</v>
      </c>
      <c r="G94" t="s">
        <v>22</v>
      </c>
      <c r="H94">
        <v>75</v>
      </c>
      <c r="I94">
        <v>643</v>
      </c>
      <c r="J94">
        <v>48225</v>
      </c>
      <c r="K94">
        <v>369</v>
      </c>
      <c r="L94">
        <v>27675</v>
      </c>
      <c r="M94">
        <v>20550</v>
      </c>
    </row>
    <row r="95" spans="1:13">
      <c r="A95">
        <v>94</v>
      </c>
      <c r="B95" s="65535">
        <v>45128</v>
      </c>
      <c r="C95" t="s">
        <v>13</v>
      </c>
      <c r="D95" t="s">
        <v>42</v>
      </c>
      <c r="E95" t="s">
        <v>15</v>
      </c>
      <c r="F95" t="s">
        <v>49</v>
      </c>
      <c r="G95" t="s">
        <v>32</v>
      </c>
      <c r="H95">
        <v>450</v>
      </c>
      <c r="I95">
        <v>1631</v>
      </c>
      <c r="J95">
        <v>733950</v>
      </c>
      <c r="K95">
        <v>1036</v>
      </c>
      <c r="L95">
        <v>466200</v>
      </c>
      <c r="M95">
        <v>267750</v>
      </c>
    </row>
    <row r="96" spans="1:13">
      <c r="A96">
        <v>95</v>
      </c>
      <c r="B96" s="65535">
        <v>44933</v>
      </c>
      <c r="C96" t="s">
        <v>33</v>
      </c>
      <c r="D96" t="s">
        <v>34</v>
      </c>
      <c r="E96" t="s">
        <v>20</v>
      </c>
      <c r="F96" t="s">
        <v>28</v>
      </c>
      <c r="G96" t="s">
        <v>22</v>
      </c>
      <c r="H96">
        <v>355</v>
      </c>
      <c r="I96">
        <v>1926</v>
      </c>
      <c r="J96">
        <v>683730</v>
      </c>
      <c r="K96">
        <v>877</v>
      </c>
      <c r="L96">
        <v>311335</v>
      </c>
      <c r="M96">
        <v>372395</v>
      </c>
    </row>
    <row r="97" spans="1:13">
      <c r="A97">
        <v>96</v>
      </c>
      <c r="B97" s="65535">
        <v>45022</v>
      </c>
      <c r="C97" t="s">
        <v>33</v>
      </c>
      <c r="D97" t="s">
        <v>41</v>
      </c>
      <c r="E97" t="s">
        <v>20</v>
      </c>
      <c r="F97" t="s">
        <v>28</v>
      </c>
      <c r="G97" t="s">
        <v>32</v>
      </c>
      <c r="H97">
        <v>290</v>
      </c>
      <c r="I97">
        <v>2353</v>
      </c>
      <c r="J97">
        <v>682370</v>
      </c>
      <c r="K97">
        <v>1071</v>
      </c>
      <c r="L97">
        <v>310590</v>
      </c>
      <c r="M97">
        <v>371780</v>
      </c>
    </row>
    <row r="98" spans="1:13">
      <c r="A98">
        <v>97</v>
      </c>
      <c r="B98" s="65535">
        <v>45182</v>
      </c>
      <c r="C98" t="s">
        <v>26</v>
      </c>
      <c r="D98" t="s">
        <v>45</v>
      </c>
      <c r="E98" t="s">
        <v>20</v>
      </c>
      <c r="F98" t="s">
        <v>21</v>
      </c>
      <c r="G98" t="s">
        <v>22</v>
      </c>
      <c r="H98">
        <v>227</v>
      </c>
      <c r="I98">
        <v>1924</v>
      </c>
      <c r="J98">
        <v>436748</v>
      </c>
      <c r="K98">
        <v>958</v>
      </c>
      <c r="L98">
        <v>217466</v>
      </c>
      <c r="M98">
        <v>219282</v>
      </c>
    </row>
    <row r="99" spans="1:13">
      <c r="A99">
        <v>98</v>
      </c>
      <c r="B99" s="65535">
        <v>45019</v>
      </c>
      <c r="C99" t="s">
        <v>26</v>
      </c>
      <c r="D99" t="s">
        <v>27</v>
      </c>
      <c r="E99" t="s">
        <v>24</v>
      </c>
      <c r="F99" t="s">
        <v>48</v>
      </c>
      <c r="G99" t="s">
        <v>32</v>
      </c>
      <c r="H99">
        <v>302</v>
      </c>
      <c r="I99">
        <v>1274</v>
      </c>
      <c r="J99">
        <v>384748</v>
      </c>
      <c r="K99">
        <v>568</v>
      </c>
      <c r="L99">
        <v>171536</v>
      </c>
      <c r="M99">
        <v>213212</v>
      </c>
    </row>
    <row r="100" spans="1:13">
      <c r="A100">
        <v>99</v>
      </c>
      <c r="B100" s="65535">
        <v>45122</v>
      </c>
      <c r="C100" t="s">
        <v>33</v>
      </c>
      <c r="D100" t="s">
        <v>41</v>
      </c>
      <c r="E100" t="s">
        <v>30</v>
      </c>
      <c r="F100" t="s">
        <v>31</v>
      </c>
      <c r="G100" t="s">
        <v>32</v>
      </c>
      <c r="H100">
        <v>110</v>
      </c>
      <c r="I100">
        <v>1394</v>
      </c>
      <c r="J100">
        <v>153340</v>
      </c>
      <c r="K100">
        <v>406</v>
      </c>
      <c r="L100">
        <v>44660</v>
      </c>
      <c r="M100">
        <v>108680</v>
      </c>
    </row>
    <row r="101" spans="1:13">
      <c r="A101">
        <v>100</v>
      </c>
      <c r="B101" s="65535">
        <v>44995</v>
      </c>
      <c r="C101" t="s">
        <v>13</v>
      </c>
      <c r="D101" t="s">
        <v>14</v>
      </c>
      <c r="E101" t="s">
        <v>30</v>
      </c>
      <c r="F101" t="s">
        <v>40</v>
      </c>
      <c r="G101" t="s">
        <v>32</v>
      </c>
      <c r="H101">
        <v>467</v>
      </c>
      <c r="I101">
        <v>4435</v>
      </c>
      <c r="J101">
        <v>2071145</v>
      </c>
      <c r="K101">
        <v>2686</v>
      </c>
      <c r="L101">
        <v>1254362</v>
      </c>
      <c r="M101">
        <v>816783</v>
      </c>
    </row>
    <row r="102" spans="1:13">
      <c r="A102">
        <v>101</v>
      </c>
      <c r="B102" s="65535">
        <v>44951</v>
      </c>
      <c r="C102" t="s">
        <v>13</v>
      </c>
      <c r="D102" t="s">
        <v>23</v>
      </c>
      <c r="E102" t="s">
        <v>20</v>
      </c>
      <c r="F102" t="s">
        <v>28</v>
      </c>
      <c r="G102" t="s">
        <v>17</v>
      </c>
      <c r="H102">
        <v>213</v>
      </c>
      <c r="I102">
        <v>1010</v>
      </c>
      <c r="J102">
        <v>215130</v>
      </c>
      <c r="K102">
        <v>807</v>
      </c>
      <c r="L102">
        <v>171891</v>
      </c>
      <c r="M102">
        <v>43239</v>
      </c>
    </row>
    <row r="103" spans="1:13">
      <c r="A103">
        <v>102</v>
      </c>
      <c r="B103" s="65535">
        <v>45249</v>
      </c>
      <c r="C103" t="s">
        <v>18</v>
      </c>
      <c r="D103" t="s">
        <v>50</v>
      </c>
      <c r="E103" t="s">
        <v>30</v>
      </c>
      <c r="F103" t="s">
        <v>40</v>
      </c>
      <c r="G103" t="s">
        <v>32</v>
      </c>
      <c r="H103">
        <v>59</v>
      </c>
      <c r="I103">
        <v>3885</v>
      </c>
      <c r="J103">
        <v>229215</v>
      </c>
      <c r="K103">
        <v>3149</v>
      </c>
      <c r="L103">
        <v>185791</v>
      </c>
      <c r="M103">
        <v>43424</v>
      </c>
    </row>
    <row r="104" spans="1:13">
      <c r="A104">
        <v>103</v>
      </c>
      <c r="B104" s="65535">
        <v>45212</v>
      </c>
      <c r="C104" t="s">
        <v>26</v>
      </c>
      <c r="D104" t="s">
        <v>27</v>
      </c>
      <c r="E104" t="s">
        <v>20</v>
      </c>
      <c r="F104" t="s">
        <v>21</v>
      </c>
      <c r="G104" t="s">
        <v>17</v>
      </c>
      <c r="H104">
        <v>487</v>
      </c>
      <c r="I104">
        <v>2311</v>
      </c>
      <c r="J104">
        <v>1125457</v>
      </c>
      <c r="K104">
        <v>1509</v>
      </c>
      <c r="L104">
        <v>734883</v>
      </c>
      <c r="M104">
        <v>390574</v>
      </c>
    </row>
    <row r="105" spans="1:13">
      <c r="A105">
        <v>104</v>
      </c>
      <c r="B105" s="65535">
        <v>45237</v>
      </c>
      <c r="C105" t="s">
        <v>33</v>
      </c>
      <c r="D105" t="s">
        <v>34</v>
      </c>
      <c r="E105" t="s">
        <v>15</v>
      </c>
      <c r="F105" t="s">
        <v>29</v>
      </c>
      <c r="G105" t="s">
        <v>17</v>
      </c>
      <c r="H105">
        <v>111</v>
      </c>
      <c r="I105">
        <v>4925</v>
      </c>
      <c r="J105">
        <v>546675</v>
      </c>
      <c r="K105">
        <v>4817</v>
      </c>
      <c r="L105">
        <v>534687</v>
      </c>
      <c r="M105">
        <v>11988</v>
      </c>
    </row>
    <row r="106" spans="1:13">
      <c r="A106">
        <v>105</v>
      </c>
      <c r="B106" s="65535">
        <v>45188</v>
      </c>
      <c r="C106" t="s">
        <v>18</v>
      </c>
      <c r="D106" t="s">
        <v>47</v>
      </c>
      <c r="E106" t="s">
        <v>20</v>
      </c>
      <c r="F106" t="s">
        <v>21</v>
      </c>
      <c r="G106" t="s">
        <v>17</v>
      </c>
      <c r="H106">
        <v>259</v>
      </c>
      <c r="I106">
        <v>3861</v>
      </c>
      <c r="J106">
        <v>999999</v>
      </c>
      <c r="K106">
        <v>3743</v>
      </c>
      <c r="L106">
        <v>969437</v>
      </c>
      <c r="M106">
        <v>30562</v>
      </c>
    </row>
    <row r="107" spans="1:13">
      <c r="A107">
        <v>106</v>
      </c>
      <c r="B107" s="65535">
        <v>45001</v>
      </c>
      <c r="C107" t="s">
        <v>33</v>
      </c>
      <c r="D107" t="s">
        <v>34</v>
      </c>
      <c r="E107" t="s">
        <v>20</v>
      </c>
      <c r="F107" t="s">
        <v>21</v>
      </c>
      <c r="G107" t="s">
        <v>17</v>
      </c>
      <c r="H107">
        <v>454</v>
      </c>
      <c r="I107">
        <v>1572</v>
      </c>
      <c r="J107">
        <v>713688</v>
      </c>
      <c r="K107">
        <v>1411</v>
      </c>
      <c r="L107">
        <v>640594</v>
      </c>
      <c r="M107">
        <v>73094</v>
      </c>
    </row>
    <row r="108" spans="1:13">
      <c r="A108">
        <v>107</v>
      </c>
      <c r="B108" s="65535">
        <v>45009</v>
      </c>
      <c r="C108" t="s">
        <v>26</v>
      </c>
      <c r="D108" t="s">
        <v>45</v>
      </c>
      <c r="E108" t="s">
        <v>24</v>
      </c>
      <c r="F108" t="s">
        <v>25</v>
      </c>
      <c r="G108" t="s">
        <v>22</v>
      </c>
      <c r="H108">
        <v>185</v>
      </c>
      <c r="I108">
        <v>2069</v>
      </c>
      <c r="J108">
        <v>382765</v>
      </c>
      <c r="K108">
        <v>742</v>
      </c>
      <c r="L108">
        <v>137270</v>
      </c>
      <c r="M108">
        <v>245495</v>
      </c>
    </row>
    <row r="109" spans="1:13">
      <c r="A109">
        <v>108</v>
      </c>
      <c r="B109" s="65535">
        <v>45129</v>
      </c>
      <c r="C109" t="s">
        <v>26</v>
      </c>
      <c r="D109" t="s">
        <v>27</v>
      </c>
      <c r="E109" t="s">
        <v>20</v>
      </c>
      <c r="F109" t="s">
        <v>28</v>
      </c>
      <c r="G109" t="s">
        <v>17</v>
      </c>
      <c r="H109">
        <v>148</v>
      </c>
      <c r="I109">
        <v>3844</v>
      </c>
      <c r="J109">
        <v>568912</v>
      </c>
      <c r="K109">
        <v>3298</v>
      </c>
      <c r="L109">
        <v>488104</v>
      </c>
      <c r="M109">
        <v>80808</v>
      </c>
    </row>
    <row r="110" spans="1:13">
      <c r="A110">
        <v>109</v>
      </c>
      <c r="B110" s="65535">
        <v>44938</v>
      </c>
      <c r="C110" t="s">
        <v>26</v>
      </c>
      <c r="D110" t="s">
        <v>45</v>
      </c>
      <c r="E110" t="s">
        <v>24</v>
      </c>
      <c r="F110" t="s">
        <v>25</v>
      </c>
      <c r="G110" t="s">
        <v>22</v>
      </c>
      <c r="H110">
        <v>74</v>
      </c>
      <c r="I110">
        <v>2122</v>
      </c>
      <c r="J110">
        <v>157028</v>
      </c>
      <c r="K110">
        <v>1455</v>
      </c>
      <c r="L110">
        <v>107670</v>
      </c>
      <c r="M110">
        <v>49358</v>
      </c>
    </row>
    <row r="111" spans="1:13">
      <c r="A111">
        <v>110</v>
      </c>
      <c r="B111" s="65535">
        <v>44979</v>
      </c>
      <c r="C111" t="s">
        <v>26</v>
      </c>
      <c r="D111" t="s">
        <v>51</v>
      </c>
      <c r="E111" t="s">
        <v>30</v>
      </c>
      <c r="F111" t="s">
        <v>37</v>
      </c>
      <c r="G111" t="s">
        <v>32</v>
      </c>
      <c r="H111">
        <v>58</v>
      </c>
      <c r="I111">
        <v>722</v>
      </c>
      <c r="J111">
        <v>41876</v>
      </c>
      <c r="K111">
        <v>584</v>
      </c>
      <c r="L111">
        <v>33872</v>
      </c>
      <c r="M111">
        <v>8004</v>
      </c>
    </row>
    <row r="112" spans="1:13">
      <c r="A112">
        <v>111</v>
      </c>
      <c r="B112" s="65535">
        <v>44980</v>
      </c>
      <c r="C112" t="s">
        <v>33</v>
      </c>
      <c r="D112" t="s">
        <v>39</v>
      </c>
      <c r="E112" t="s">
        <v>24</v>
      </c>
      <c r="F112" t="s">
        <v>35</v>
      </c>
      <c r="G112" t="s">
        <v>22</v>
      </c>
      <c r="H112">
        <v>144</v>
      </c>
      <c r="I112">
        <v>1472</v>
      </c>
      <c r="J112">
        <v>211968</v>
      </c>
      <c r="K112">
        <v>272</v>
      </c>
      <c r="L112">
        <v>39168</v>
      </c>
      <c r="M112">
        <v>172800</v>
      </c>
    </row>
    <row r="113" spans="1:13">
      <c r="A113">
        <v>112</v>
      </c>
      <c r="B113" s="65535">
        <v>45072</v>
      </c>
      <c r="C113" t="s">
        <v>13</v>
      </c>
      <c r="D113" t="s">
        <v>23</v>
      </c>
      <c r="E113" t="s">
        <v>30</v>
      </c>
      <c r="F113" t="s">
        <v>37</v>
      </c>
      <c r="G113" t="s">
        <v>17</v>
      </c>
      <c r="H113">
        <v>236</v>
      </c>
      <c r="I113">
        <v>1235</v>
      </c>
      <c r="J113">
        <v>291460</v>
      </c>
      <c r="K113">
        <v>368</v>
      </c>
      <c r="L113">
        <v>86848</v>
      </c>
      <c r="M113">
        <v>204612</v>
      </c>
    </row>
    <row r="114" spans="1:13">
      <c r="A114">
        <v>113</v>
      </c>
      <c r="B114" s="65535">
        <v>45093</v>
      </c>
      <c r="C114" t="s">
        <v>18</v>
      </c>
      <c r="D114" t="s">
        <v>50</v>
      </c>
      <c r="E114" t="s">
        <v>15</v>
      </c>
      <c r="F114" t="s">
        <v>49</v>
      </c>
      <c r="G114" t="s">
        <v>32</v>
      </c>
      <c r="H114">
        <v>452</v>
      </c>
      <c r="I114">
        <v>4100</v>
      </c>
      <c r="J114">
        <v>1853200</v>
      </c>
      <c r="K114">
        <v>2013</v>
      </c>
      <c r="L114">
        <v>909876</v>
      </c>
      <c r="M114">
        <v>943324</v>
      </c>
    </row>
    <row r="115" spans="1:13">
      <c r="A115">
        <v>114</v>
      </c>
      <c r="B115" s="65535">
        <v>45017</v>
      </c>
      <c r="C115" t="s">
        <v>26</v>
      </c>
      <c r="D115" t="s">
        <v>45</v>
      </c>
      <c r="E115" t="s">
        <v>30</v>
      </c>
      <c r="F115" t="s">
        <v>31</v>
      </c>
      <c r="G115" t="s">
        <v>17</v>
      </c>
      <c r="H115">
        <v>312</v>
      </c>
      <c r="I115">
        <v>3940</v>
      </c>
      <c r="J115">
        <v>1229280</v>
      </c>
      <c r="K115">
        <v>2684</v>
      </c>
      <c r="L115">
        <v>837408</v>
      </c>
      <c r="M115">
        <v>391872</v>
      </c>
    </row>
    <row r="116" spans="1:13">
      <c r="A116">
        <v>115</v>
      </c>
      <c r="B116" s="65535">
        <v>45043</v>
      </c>
      <c r="C116" t="s">
        <v>13</v>
      </c>
      <c r="D116" t="s">
        <v>23</v>
      </c>
      <c r="E116" t="s">
        <v>20</v>
      </c>
      <c r="F116" t="s">
        <v>21</v>
      </c>
      <c r="G116" t="s">
        <v>17</v>
      </c>
      <c r="H116">
        <v>422</v>
      </c>
      <c r="I116">
        <v>933</v>
      </c>
      <c r="J116">
        <v>393726</v>
      </c>
      <c r="K116">
        <v>552</v>
      </c>
      <c r="L116">
        <v>232944</v>
      </c>
      <c r="M116">
        <v>160782</v>
      </c>
    </row>
    <row r="117" spans="1:13">
      <c r="A117">
        <v>116</v>
      </c>
      <c r="B117" s="65535">
        <v>45082</v>
      </c>
      <c r="C117" t="s">
        <v>26</v>
      </c>
      <c r="D117" t="s">
        <v>27</v>
      </c>
      <c r="E117" t="s">
        <v>24</v>
      </c>
      <c r="F117" t="s">
        <v>48</v>
      </c>
      <c r="G117" t="s">
        <v>22</v>
      </c>
      <c r="H117">
        <v>15</v>
      </c>
      <c r="I117">
        <v>200</v>
      </c>
      <c r="J117">
        <v>3000</v>
      </c>
      <c r="K117">
        <v>133</v>
      </c>
      <c r="L117">
        <v>1995</v>
      </c>
      <c r="M117">
        <v>1005</v>
      </c>
    </row>
    <row r="118" spans="1:13">
      <c r="A118">
        <v>117</v>
      </c>
      <c r="B118" s="65535">
        <v>44931</v>
      </c>
      <c r="C118" t="s">
        <v>18</v>
      </c>
      <c r="D118" t="s">
        <v>47</v>
      </c>
      <c r="E118" t="s">
        <v>20</v>
      </c>
      <c r="F118" t="s">
        <v>21</v>
      </c>
      <c r="G118" t="s">
        <v>17</v>
      </c>
      <c r="H118">
        <v>362</v>
      </c>
      <c r="I118">
        <v>4229</v>
      </c>
      <c r="J118">
        <v>1530898</v>
      </c>
      <c r="K118">
        <v>3978</v>
      </c>
      <c r="L118">
        <v>1440036</v>
      </c>
      <c r="M118">
        <v>90862</v>
      </c>
    </row>
    <row r="119" spans="1:13">
      <c r="A119">
        <v>118</v>
      </c>
      <c r="B119" s="65535">
        <v>45232</v>
      </c>
      <c r="C119" t="s">
        <v>13</v>
      </c>
      <c r="D119" t="s">
        <v>23</v>
      </c>
      <c r="E119" t="s">
        <v>15</v>
      </c>
      <c r="F119" t="s">
        <v>29</v>
      </c>
      <c r="G119" t="s">
        <v>32</v>
      </c>
      <c r="H119">
        <v>128</v>
      </c>
      <c r="I119">
        <v>259</v>
      </c>
      <c r="J119">
        <v>33152</v>
      </c>
      <c r="K119">
        <v>170</v>
      </c>
      <c r="L119">
        <v>21760</v>
      </c>
      <c r="M119">
        <v>11392</v>
      </c>
    </row>
    <row r="120" spans="1:13">
      <c r="A120">
        <v>119</v>
      </c>
      <c r="B120" s="65535">
        <v>45129</v>
      </c>
      <c r="C120" t="s">
        <v>26</v>
      </c>
      <c r="D120" t="s">
        <v>36</v>
      </c>
      <c r="E120" t="s">
        <v>24</v>
      </c>
      <c r="F120" t="s">
        <v>35</v>
      </c>
      <c r="G120" t="s">
        <v>32</v>
      </c>
      <c r="H120">
        <v>137</v>
      </c>
      <c r="I120">
        <v>1537</v>
      </c>
      <c r="J120">
        <v>210569</v>
      </c>
      <c r="K120">
        <v>1422</v>
      </c>
      <c r="L120">
        <v>194814</v>
      </c>
      <c r="M120">
        <v>15755</v>
      </c>
    </row>
    <row r="121" spans="1:13">
      <c r="A121">
        <v>120</v>
      </c>
      <c r="B121" s="65535">
        <v>45143</v>
      </c>
      <c r="C121" t="s">
        <v>13</v>
      </c>
      <c r="D121" t="s">
        <v>42</v>
      </c>
      <c r="E121" t="s">
        <v>30</v>
      </c>
      <c r="F121" t="s">
        <v>40</v>
      </c>
      <c r="G121" t="s">
        <v>22</v>
      </c>
      <c r="H121">
        <v>330</v>
      </c>
      <c r="I121">
        <v>2162</v>
      </c>
      <c r="J121">
        <v>713460</v>
      </c>
      <c r="K121">
        <v>1158</v>
      </c>
      <c r="L121">
        <v>382140</v>
      </c>
      <c r="M121">
        <v>331320</v>
      </c>
    </row>
    <row r="122" spans="1:13">
      <c r="A122">
        <v>121</v>
      </c>
      <c r="B122" s="65535">
        <v>44962</v>
      </c>
      <c r="C122" t="s">
        <v>26</v>
      </c>
      <c r="D122" t="s">
        <v>27</v>
      </c>
      <c r="E122" t="s">
        <v>20</v>
      </c>
      <c r="F122" t="s">
        <v>21</v>
      </c>
      <c r="G122" t="s">
        <v>22</v>
      </c>
      <c r="H122">
        <v>103</v>
      </c>
      <c r="I122">
        <v>1319</v>
      </c>
      <c r="J122">
        <v>135857</v>
      </c>
      <c r="K122">
        <v>693</v>
      </c>
      <c r="L122">
        <v>71379</v>
      </c>
      <c r="M122">
        <v>64478</v>
      </c>
    </row>
    <row r="123" spans="1:13">
      <c r="A123">
        <v>122</v>
      </c>
      <c r="B123" s="65535">
        <v>45245</v>
      </c>
      <c r="C123" t="s">
        <v>33</v>
      </c>
      <c r="D123" t="s">
        <v>34</v>
      </c>
      <c r="E123" t="s">
        <v>24</v>
      </c>
      <c r="F123" t="s">
        <v>48</v>
      </c>
      <c r="G123" t="s">
        <v>17</v>
      </c>
      <c r="H123">
        <v>261</v>
      </c>
      <c r="I123">
        <v>1738</v>
      </c>
      <c r="J123">
        <v>453618</v>
      </c>
      <c r="K123">
        <v>756</v>
      </c>
      <c r="L123">
        <v>197316</v>
      </c>
      <c r="M123">
        <v>256302</v>
      </c>
    </row>
    <row r="124" spans="1:13">
      <c r="A124">
        <v>123</v>
      </c>
      <c r="B124" s="65535">
        <v>45022</v>
      </c>
      <c r="C124" t="s">
        <v>33</v>
      </c>
      <c r="D124" t="s">
        <v>46</v>
      </c>
      <c r="E124" t="s">
        <v>15</v>
      </c>
      <c r="F124" t="s">
        <v>49</v>
      </c>
      <c r="G124" t="s">
        <v>22</v>
      </c>
      <c r="H124">
        <v>62</v>
      </c>
      <c r="I124">
        <v>2511</v>
      </c>
      <c r="J124">
        <v>155682</v>
      </c>
      <c r="K124">
        <v>1202</v>
      </c>
      <c r="L124">
        <v>74524</v>
      </c>
      <c r="M124">
        <v>81158</v>
      </c>
    </row>
    <row r="125" spans="1:13">
      <c r="A125">
        <v>124</v>
      </c>
      <c r="B125" s="65535">
        <v>45004</v>
      </c>
      <c r="C125" t="s">
        <v>18</v>
      </c>
      <c r="D125" t="s">
        <v>19</v>
      </c>
      <c r="E125" t="s">
        <v>15</v>
      </c>
      <c r="F125" t="s">
        <v>16</v>
      </c>
      <c r="G125" t="s">
        <v>22</v>
      </c>
      <c r="H125">
        <v>17</v>
      </c>
      <c r="I125">
        <v>4243</v>
      </c>
      <c r="J125">
        <v>72131</v>
      </c>
      <c r="K125">
        <v>989</v>
      </c>
      <c r="L125">
        <v>16813</v>
      </c>
      <c r="M125">
        <v>55318</v>
      </c>
    </row>
    <row r="126" spans="1:13">
      <c r="A126">
        <v>125</v>
      </c>
      <c r="B126" s="65535">
        <v>45164</v>
      </c>
      <c r="C126" t="s">
        <v>26</v>
      </c>
      <c r="D126" t="s">
        <v>45</v>
      </c>
      <c r="E126" t="s">
        <v>20</v>
      </c>
      <c r="F126" t="s">
        <v>21</v>
      </c>
      <c r="G126" t="s">
        <v>32</v>
      </c>
      <c r="H126">
        <v>366</v>
      </c>
      <c r="I126">
        <v>459</v>
      </c>
      <c r="J126">
        <v>167994</v>
      </c>
      <c r="K126">
        <v>269</v>
      </c>
      <c r="L126">
        <v>98454</v>
      </c>
      <c r="M126">
        <v>69540</v>
      </c>
    </row>
    <row r="127" spans="1:13">
      <c r="A127">
        <v>126</v>
      </c>
      <c r="B127" s="65535">
        <v>44963</v>
      </c>
      <c r="C127" t="s">
        <v>33</v>
      </c>
      <c r="D127" t="s">
        <v>46</v>
      </c>
      <c r="E127" t="s">
        <v>15</v>
      </c>
      <c r="F127" t="s">
        <v>29</v>
      </c>
      <c r="G127" t="s">
        <v>32</v>
      </c>
      <c r="H127">
        <v>288</v>
      </c>
      <c r="I127">
        <v>4051</v>
      </c>
      <c r="J127">
        <v>1166688</v>
      </c>
      <c r="K127">
        <v>843</v>
      </c>
      <c r="L127">
        <v>242784</v>
      </c>
      <c r="M127">
        <v>923904</v>
      </c>
    </row>
    <row r="128" spans="1:13">
      <c r="A128">
        <v>127</v>
      </c>
      <c r="B128" s="65535">
        <v>45292</v>
      </c>
      <c r="C128" t="s">
        <v>18</v>
      </c>
      <c r="D128" t="s">
        <v>47</v>
      </c>
      <c r="E128" t="s">
        <v>24</v>
      </c>
      <c r="F128" t="s">
        <v>25</v>
      </c>
      <c r="G128" t="s">
        <v>22</v>
      </c>
      <c r="H128">
        <v>137</v>
      </c>
      <c r="I128">
        <v>3352</v>
      </c>
      <c r="J128">
        <v>459224</v>
      </c>
      <c r="K128">
        <v>3258</v>
      </c>
      <c r="L128">
        <v>446346</v>
      </c>
      <c r="M128">
        <v>12878</v>
      </c>
    </row>
    <row r="129" spans="1:13">
      <c r="A129">
        <v>128</v>
      </c>
      <c r="B129" s="65535">
        <v>44975</v>
      </c>
      <c r="C129" t="s">
        <v>13</v>
      </c>
      <c r="D129" t="s">
        <v>43</v>
      </c>
      <c r="E129" t="s">
        <v>15</v>
      </c>
      <c r="F129" t="s">
        <v>16</v>
      </c>
      <c r="G129" t="s">
        <v>32</v>
      </c>
      <c r="H129">
        <v>276</v>
      </c>
      <c r="I129">
        <v>1907</v>
      </c>
      <c r="J129">
        <v>526332</v>
      </c>
      <c r="K129">
        <v>1068</v>
      </c>
      <c r="L129">
        <v>294768</v>
      </c>
      <c r="M129">
        <v>231564</v>
      </c>
    </row>
    <row r="130" spans="1:13">
      <c r="A130">
        <v>129</v>
      </c>
      <c r="B130" s="65535">
        <v>44948</v>
      </c>
      <c r="C130" t="s">
        <v>13</v>
      </c>
      <c r="D130" t="s">
        <v>23</v>
      </c>
      <c r="E130" t="s">
        <v>20</v>
      </c>
      <c r="F130" t="s">
        <v>44</v>
      </c>
      <c r="G130" t="s">
        <v>17</v>
      </c>
      <c r="H130">
        <v>391</v>
      </c>
      <c r="I130">
        <v>4702</v>
      </c>
      <c r="J130">
        <v>1838482</v>
      </c>
      <c r="K130">
        <v>4367</v>
      </c>
      <c r="L130">
        <v>1707497</v>
      </c>
      <c r="M130">
        <v>130985</v>
      </c>
    </row>
    <row r="131" spans="1:13">
      <c r="A131">
        <v>130</v>
      </c>
      <c r="B131" s="65535">
        <v>45028</v>
      </c>
      <c r="C131" t="s">
        <v>33</v>
      </c>
      <c r="D131" t="s">
        <v>41</v>
      </c>
      <c r="E131" t="s">
        <v>24</v>
      </c>
      <c r="F131" t="s">
        <v>35</v>
      </c>
      <c r="G131" t="s">
        <v>32</v>
      </c>
      <c r="H131">
        <v>194</v>
      </c>
      <c r="I131">
        <v>626</v>
      </c>
      <c r="J131">
        <v>121444</v>
      </c>
      <c r="K131">
        <v>542</v>
      </c>
      <c r="L131">
        <v>105148</v>
      </c>
      <c r="M131">
        <v>16296</v>
      </c>
    </row>
    <row r="132" spans="1:13">
      <c r="A132">
        <v>131</v>
      </c>
      <c r="B132" s="65535">
        <v>45093</v>
      </c>
      <c r="C132" t="s">
        <v>18</v>
      </c>
      <c r="D132" t="s">
        <v>50</v>
      </c>
      <c r="E132" t="s">
        <v>30</v>
      </c>
      <c r="F132" t="s">
        <v>31</v>
      </c>
      <c r="G132" t="s">
        <v>32</v>
      </c>
      <c r="H132">
        <v>17</v>
      </c>
      <c r="I132">
        <v>1571</v>
      </c>
      <c r="J132">
        <v>26707</v>
      </c>
      <c r="K132">
        <v>665</v>
      </c>
      <c r="L132">
        <v>11305</v>
      </c>
      <c r="M132">
        <v>15402</v>
      </c>
    </row>
    <row r="133" spans="1:13">
      <c r="A133">
        <v>132</v>
      </c>
      <c r="B133" s="65535">
        <v>45224</v>
      </c>
      <c r="C133" t="s">
        <v>33</v>
      </c>
      <c r="D133" t="s">
        <v>34</v>
      </c>
      <c r="E133" t="s">
        <v>30</v>
      </c>
      <c r="F133" t="s">
        <v>37</v>
      </c>
      <c r="G133" t="s">
        <v>22</v>
      </c>
      <c r="H133">
        <v>411</v>
      </c>
      <c r="I133">
        <v>4093</v>
      </c>
      <c r="J133">
        <v>1682223</v>
      </c>
      <c r="K133">
        <v>2919</v>
      </c>
      <c r="L133">
        <v>1199709</v>
      </c>
      <c r="M133">
        <v>482514</v>
      </c>
    </row>
    <row r="134" spans="1:13">
      <c r="A134">
        <v>133</v>
      </c>
      <c r="B134" s="65535">
        <v>45182</v>
      </c>
      <c r="C134" t="s">
        <v>18</v>
      </c>
      <c r="D134" t="s">
        <v>47</v>
      </c>
      <c r="E134" t="s">
        <v>15</v>
      </c>
      <c r="F134" t="s">
        <v>16</v>
      </c>
      <c r="G134" t="s">
        <v>22</v>
      </c>
      <c r="H134">
        <v>56</v>
      </c>
      <c r="I134">
        <v>2972</v>
      </c>
      <c r="J134">
        <v>166432</v>
      </c>
      <c r="K134">
        <v>2660</v>
      </c>
      <c r="L134">
        <v>148960</v>
      </c>
      <c r="M134">
        <v>17472</v>
      </c>
    </row>
    <row r="135" spans="1:13">
      <c r="A135">
        <v>134</v>
      </c>
      <c r="B135" s="65535">
        <v>45286</v>
      </c>
      <c r="C135" t="s">
        <v>33</v>
      </c>
      <c r="D135" t="s">
        <v>39</v>
      </c>
      <c r="E135" t="s">
        <v>20</v>
      </c>
      <c r="F135" t="s">
        <v>28</v>
      </c>
      <c r="G135" t="s">
        <v>22</v>
      </c>
      <c r="H135">
        <v>284</v>
      </c>
      <c r="I135">
        <v>1079</v>
      </c>
      <c r="J135">
        <v>306436</v>
      </c>
      <c r="K135">
        <v>228</v>
      </c>
      <c r="L135">
        <v>64752</v>
      </c>
      <c r="M135">
        <v>241684</v>
      </c>
    </row>
    <row r="136" spans="1:13">
      <c r="A136">
        <v>135</v>
      </c>
      <c r="B136" s="65535">
        <v>45104</v>
      </c>
      <c r="C136" t="s">
        <v>13</v>
      </c>
      <c r="D136" t="s">
        <v>43</v>
      </c>
      <c r="E136" t="s">
        <v>20</v>
      </c>
      <c r="F136" t="s">
        <v>28</v>
      </c>
      <c r="G136" t="s">
        <v>17</v>
      </c>
      <c r="H136">
        <v>422</v>
      </c>
      <c r="I136">
        <v>3793</v>
      </c>
      <c r="J136">
        <v>1600646</v>
      </c>
      <c r="K136">
        <v>3103</v>
      </c>
      <c r="L136">
        <v>1309466</v>
      </c>
      <c r="M136">
        <v>291180</v>
      </c>
    </row>
    <row r="137" spans="1:13">
      <c r="A137">
        <v>136</v>
      </c>
      <c r="B137" s="65535">
        <v>44995</v>
      </c>
      <c r="C137" t="s">
        <v>18</v>
      </c>
      <c r="D137" t="s">
        <v>50</v>
      </c>
      <c r="E137" t="s">
        <v>24</v>
      </c>
      <c r="F137" t="s">
        <v>48</v>
      </c>
      <c r="G137" t="s">
        <v>17</v>
      </c>
      <c r="H137">
        <v>138</v>
      </c>
      <c r="I137">
        <v>523</v>
      </c>
      <c r="J137">
        <v>72174</v>
      </c>
      <c r="K137">
        <v>348</v>
      </c>
      <c r="L137">
        <v>48024</v>
      </c>
      <c r="M137">
        <v>24150</v>
      </c>
    </row>
    <row r="138" spans="1:13">
      <c r="A138">
        <v>137</v>
      </c>
      <c r="B138" s="65535">
        <v>45022</v>
      </c>
      <c r="C138" t="s">
        <v>13</v>
      </c>
      <c r="D138" t="s">
        <v>23</v>
      </c>
      <c r="E138" t="s">
        <v>24</v>
      </c>
      <c r="F138" t="s">
        <v>25</v>
      </c>
      <c r="G138" t="s">
        <v>17</v>
      </c>
      <c r="H138">
        <v>288</v>
      </c>
      <c r="I138">
        <v>3048</v>
      </c>
      <c r="J138">
        <v>877824</v>
      </c>
      <c r="K138">
        <v>1425</v>
      </c>
      <c r="L138">
        <v>410400</v>
      </c>
      <c r="M138">
        <v>467424</v>
      </c>
    </row>
    <row r="139" spans="1:13">
      <c r="A139">
        <v>138</v>
      </c>
      <c r="B139" s="65535">
        <v>45006</v>
      </c>
      <c r="C139" t="s">
        <v>13</v>
      </c>
      <c r="D139" t="s">
        <v>23</v>
      </c>
      <c r="E139" t="s">
        <v>30</v>
      </c>
      <c r="F139" t="s">
        <v>37</v>
      </c>
      <c r="G139" t="s">
        <v>17</v>
      </c>
      <c r="H139">
        <v>240</v>
      </c>
      <c r="I139">
        <v>2622</v>
      </c>
      <c r="J139">
        <v>629280</v>
      </c>
      <c r="K139">
        <v>1178</v>
      </c>
      <c r="L139">
        <v>282720</v>
      </c>
      <c r="M139">
        <v>346560</v>
      </c>
    </row>
    <row r="140" spans="1:13">
      <c r="A140">
        <v>139</v>
      </c>
      <c r="B140" s="65535">
        <v>45121</v>
      </c>
      <c r="C140" t="s">
        <v>26</v>
      </c>
      <c r="D140" t="s">
        <v>45</v>
      </c>
      <c r="E140" t="s">
        <v>15</v>
      </c>
      <c r="F140" t="s">
        <v>49</v>
      </c>
      <c r="G140" t="s">
        <v>17</v>
      </c>
      <c r="H140">
        <v>385</v>
      </c>
      <c r="I140">
        <v>1719</v>
      </c>
      <c r="J140">
        <v>661815</v>
      </c>
      <c r="K140">
        <v>138</v>
      </c>
      <c r="L140">
        <v>53130</v>
      </c>
      <c r="M140">
        <v>608685</v>
      </c>
    </row>
    <row r="141" spans="1:13">
      <c r="A141">
        <v>140</v>
      </c>
      <c r="B141" s="65535">
        <v>45264</v>
      </c>
      <c r="C141" t="s">
        <v>26</v>
      </c>
      <c r="D141" t="s">
        <v>36</v>
      </c>
      <c r="E141" t="s">
        <v>20</v>
      </c>
      <c r="F141" t="s">
        <v>28</v>
      </c>
      <c r="G141" t="s">
        <v>22</v>
      </c>
      <c r="H141">
        <v>285</v>
      </c>
      <c r="I141">
        <v>3374</v>
      </c>
      <c r="J141">
        <v>961590</v>
      </c>
      <c r="K141">
        <v>877</v>
      </c>
      <c r="L141">
        <v>249945</v>
      </c>
      <c r="M141">
        <v>711645</v>
      </c>
    </row>
    <row r="142" spans="1:13">
      <c r="A142">
        <v>141</v>
      </c>
      <c r="B142" s="65535">
        <v>45255</v>
      </c>
      <c r="C142" t="s">
        <v>13</v>
      </c>
      <c r="D142" t="s">
        <v>43</v>
      </c>
      <c r="E142" t="s">
        <v>20</v>
      </c>
      <c r="F142" t="s">
        <v>21</v>
      </c>
      <c r="G142" t="s">
        <v>32</v>
      </c>
      <c r="H142">
        <v>174</v>
      </c>
      <c r="I142">
        <v>1104</v>
      </c>
      <c r="J142">
        <v>192096</v>
      </c>
      <c r="K142">
        <v>198</v>
      </c>
      <c r="L142">
        <v>34452</v>
      </c>
      <c r="M142">
        <v>157644</v>
      </c>
    </row>
    <row r="143" spans="1:13">
      <c r="A143">
        <v>142</v>
      </c>
      <c r="B143" s="65535">
        <v>45030</v>
      </c>
      <c r="C143" t="s">
        <v>33</v>
      </c>
      <c r="D143" t="s">
        <v>39</v>
      </c>
      <c r="E143" t="s">
        <v>30</v>
      </c>
      <c r="F143" t="s">
        <v>37</v>
      </c>
      <c r="G143" t="s">
        <v>22</v>
      </c>
      <c r="H143">
        <v>64</v>
      </c>
      <c r="I143">
        <v>4176</v>
      </c>
      <c r="J143">
        <v>267264</v>
      </c>
      <c r="K143">
        <v>884</v>
      </c>
      <c r="L143">
        <v>56576</v>
      </c>
      <c r="M143">
        <v>210688</v>
      </c>
    </row>
    <row r="144" spans="1:13">
      <c r="A144">
        <v>143</v>
      </c>
      <c r="B144" s="65535">
        <v>45196</v>
      </c>
      <c r="C144" t="s">
        <v>33</v>
      </c>
      <c r="D144" t="s">
        <v>39</v>
      </c>
      <c r="E144" t="s">
        <v>24</v>
      </c>
      <c r="F144" t="s">
        <v>35</v>
      </c>
      <c r="G144" t="s">
        <v>32</v>
      </c>
      <c r="H144">
        <v>329</v>
      </c>
      <c r="I144">
        <v>2296</v>
      </c>
      <c r="J144">
        <v>755384</v>
      </c>
      <c r="K144">
        <v>301</v>
      </c>
      <c r="L144">
        <v>99029</v>
      </c>
      <c r="M144">
        <v>656355</v>
      </c>
    </row>
    <row r="145" spans="1:13">
      <c r="A145">
        <v>144</v>
      </c>
      <c r="B145" s="65535">
        <v>45262</v>
      </c>
      <c r="C145" t="s">
        <v>26</v>
      </c>
      <c r="D145" t="s">
        <v>36</v>
      </c>
      <c r="E145" t="s">
        <v>15</v>
      </c>
      <c r="F145" t="s">
        <v>16</v>
      </c>
      <c r="G145" t="s">
        <v>22</v>
      </c>
      <c r="H145">
        <v>261</v>
      </c>
      <c r="I145">
        <v>855</v>
      </c>
      <c r="J145">
        <v>223155</v>
      </c>
      <c r="K145">
        <v>579</v>
      </c>
      <c r="L145">
        <v>151119</v>
      </c>
      <c r="M145">
        <v>72036</v>
      </c>
    </row>
    <row r="146" spans="1:13">
      <c r="A146">
        <v>145</v>
      </c>
      <c r="B146" s="65535">
        <v>44956</v>
      </c>
      <c r="C146" t="s">
        <v>33</v>
      </c>
      <c r="D146" t="s">
        <v>41</v>
      </c>
      <c r="E146" t="s">
        <v>24</v>
      </c>
      <c r="F146" t="s">
        <v>48</v>
      </c>
      <c r="G146" t="s">
        <v>17</v>
      </c>
      <c r="H146">
        <v>431</v>
      </c>
      <c r="I146">
        <v>2377</v>
      </c>
      <c r="J146">
        <v>1024487</v>
      </c>
      <c r="K146">
        <v>2266</v>
      </c>
      <c r="L146">
        <v>976646</v>
      </c>
      <c r="M146">
        <v>47841</v>
      </c>
    </row>
    <row r="147" spans="1:13">
      <c r="A147">
        <v>146</v>
      </c>
      <c r="B147" s="65535">
        <v>45192</v>
      </c>
      <c r="C147" t="s">
        <v>33</v>
      </c>
      <c r="D147" t="s">
        <v>39</v>
      </c>
      <c r="E147" t="s">
        <v>20</v>
      </c>
      <c r="F147" t="s">
        <v>44</v>
      </c>
      <c r="G147" t="s">
        <v>22</v>
      </c>
      <c r="H147">
        <v>59</v>
      </c>
      <c r="I147">
        <v>1029</v>
      </c>
      <c r="J147">
        <v>60711</v>
      </c>
      <c r="K147">
        <v>842</v>
      </c>
      <c r="L147">
        <v>49678</v>
      </c>
      <c r="M147">
        <v>11033</v>
      </c>
    </row>
    <row r="148" spans="1:13">
      <c r="A148">
        <v>147</v>
      </c>
      <c r="B148" s="65535">
        <v>45263</v>
      </c>
      <c r="C148" t="s">
        <v>18</v>
      </c>
      <c r="D148" t="s">
        <v>19</v>
      </c>
      <c r="E148" t="s">
        <v>30</v>
      </c>
      <c r="F148" t="s">
        <v>37</v>
      </c>
      <c r="G148" t="s">
        <v>17</v>
      </c>
      <c r="H148">
        <v>137</v>
      </c>
      <c r="I148">
        <v>4869</v>
      </c>
      <c r="J148">
        <v>667053</v>
      </c>
      <c r="K148">
        <v>1565</v>
      </c>
      <c r="L148">
        <v>214405</v>
      </c>
      <c r="M148">
        <v>452648</v>
      </c>
    </row>
    <row r="149" spans="1:13">
      <c r="A149">
        <v>148</v>
      </c>
      <c r="B149" s="65535">
        <v>45286</v>
      </c>
      <c r="C149" t="s">
        <v>13</v>
      </c>
      <c r="D149" t="s">
        <v>14</v>
      </c>
      <c r="E149" t="s">
        <v>20</v>
      </c>
      <c r="F149" t="s">
        <v>28</v>
      </c>
      <c r="G149" t="s">
        <v>32</v>
      </c>
      <c r="H149">
        <v>350</v>
      </c>
      <c r="I149">
        <v>3698</v>
      </c>
      <c r="J149">
        <v>1294300</v>
      </c>
      <c r="K149">
        <v>526</v>
      </c>
      <c r="L149">
        <v>184100</v>
      </c>
      <c r="M149">
        <v>1110200</v>
      </c>
    </row>
    <row r="150" spans="1:13">
      <c r="A150">
        <v>149</v>
      </c>
      <c r="B150" s="65535">
        <v>45263</v>
      </c>
      <c r="C150" t="s">
        <v>18</v>
      </c>
      <c r="D150" t="s">
        <v>38</v>
      </c>
      <c r="E150" t="s">
        <v>24</v>
      </c>
      <c r="F150" t="s">
        <v>35</v>
      </c>
      <c r="G150" t="s">
        <v>32</v>
      </c>
      <c r="H150">
        <v>90</v>
      </c>
      <c r="I150">
        <v>4573</v>
      </c>
      <c r="J150">
        <v>411570</v>
      </c>
      <c r="K150">
        <v>3729</v>
      </c>
      <c r="L150">
        <v>335610</v>
      </c>
      <c r="M150">
        <v>75960</v>
      </c>
    </row>
    <row r="151" spans="1:13">
      <c r="A151">
        <v>150</v>
      </c>
      <c r="B151" s="65535">
        <v>45251</v>
      </c>
      <c r="C151" t="s">
        <v>26</v>
      </c>
      <c r="D151" t="s">
        <v>27</v>
      </c>
      <c r="E151" t="s">
        <v>20</v>
      </c>
      <c r="F151" t="s">
        <v>21</v>
      </c>
      <c r="G151" t="s">
        <v>32</v>
      </c>
      <c r="H151">
        <v>230</v>
      </c>
      <c r="I151">
        <v>2849</v>
      </c>
      <c r="J151">
        <v>655270</v>
      </c>
      <c r="K151">
        <v>2592</v>
      </c>
      <c r="L151">
        <v>596160</v>
      </c>
      <c r="M151">
        <v>59110</v>
      </c>
    </row>
    <row r="152" spans="1:13">
      <c r="A152">
        <v>151</v>
      </c>
      <c r="B152" s="65535">
        <v>45057</v>
      </c>
      <c r="C152" t="s">
        <v>18</v>
      </c>
      <c r="D152" t="s">
        <v>38</v>
      </c>
      <c r="E152" t="s">
        <v>24</v>
      </c>
      <c r="F152" t="s">
        <v>35</v>
      </c>
      <c r="G152" t="s">
        <v>17</v>
      </c>
      <c r="H152">
        <v>194</v>
      </c>
      <c r="I152">
        <v>3906</v>
      </c>
      <c r="J152">
        <v>757764</v>
      </c>
      <c r="K152">
        <v>1932</v>
      </c>
      <c r="L152">
        <v>374808</v>
      </c>
      <c r="M152">
        <v>382956</v>
      </c>
    </row>
    <row r="153" spans="1:13">
      <c r="A153">
        <v>152</v>
      </c>
      <c r="B153" s="65535">
        <v>44935</v>
      </c>
      <c r="C153" t="s">
        <v>13</v>
      </c>
      <c r="D153" t="s">
        <v>14</v>
      </c>
      <c r="E153" t="s">
        <v>15</v>
      </c>
      <c r="F153" t="s">
        <v>29</v>
      </c>
      <c r="G153" t="s">
        <v>17</v>
      </c>
      <c r="H153">
        <v>275</v>
      </c>
      <c r="I153">
        <v>1306</v>
      </c>
      <c r="J153">
        <v>359150</v>
      </c>
      <c r="K153">
        <v>718</v>
      </c>
      <c r="L153">
        <v>197450</v>
      </c>
      <c r="M153">
        <v>161700</v>
      </c>
    </row>
    <row r="154" spans="1:13">
      <c r="A154">
        <v>153</v>
      </c>
      <c r="B154" s="65535">
        <v>44938</v>
      </c>
      <c r="C154" t="s">
        <v>33</v>
      </c>
      <c r="D154" t="s">
        <v>41</v>
      </c>
      <c r="E154" t="s">
        <v>30</v>
      </c>
      <c r="F154" t="s">
        <v>37</v>
      </c>
      <c r="G154" t="s">
        <v>32</v>
      </c>
      <c r="H154">
        <v>405</v>
      </c>
      <c r="I154">
        <v>2460</v>
      </c>
      <c r="J154">
        <v>996300</v>
      </c>
      <c r="K154">
        <v>2367</v>
      </c>
      <c r="L154">
        <v>958635</v>
      </c>
      <c r="M154">
        <v>37665</v>
      </c>
    </row>
    <row r="155" spans="1:13">
      <c r="A155">
        <v>154</v>
      </c>
      <c r="B155" s="65535">
        <v>45006</v>
      </c>
      <c r="C155" t="s">
        <v>18</v>
      </c>
      <c r="D155" t="s">
        <v>50</v>
      </c>
      <c r="E155" t="s">
        <v>15</v>
      </c>
      <c r="F155" t="s">
        <v>29</v>
      </c>
      <c r="G155" t="s">
        <v>32</v>
      </c>
      <c r="H155">
        <v>80</v>
      </c>
      <c r="I155">
        <v>2370</v>
      </c>
      <c r="J155">
        <v>189600</v>
      </c>
      <c r="K155">
        <v>1603</v>
      </c>
      <c r="L155">
        <v>128240</v>
      </c>
      <c r="M155">
        <v>61360</v>
      </c>
    </row>
    <row r="156" spans="1:13">
      <c r="A156">
        <v>155</v>
      </c>
      <c r="B156" s="65535">
        <v>45219</v>
      </c>
      <c r="C156" t="s">
        <v>18</v>
      </c>
      <c r="D156" t="s">
        <v>38</v>
      </c>
      <c r="E156" t="s">
        <v>20</v>
      </c>
      <c r="F156" t="s">
        <v>21</v>
      </c>
      <c r="G156" t="s">
        <v>22</v>
      </c>
      <c r="H156">
        <v>214</v>
      </c>
      <c r="I156">
        <v>4861</v>
      </c>
      <c r="J156">
        <v>1040254</v>
      </c>
      <c r="K156">
        <v>1881</v>
      </c>
      <c r="L156">
        <v>402534</v>
      </c>
      <c r="M156">
        <v>637720</v>
      </c>
    </row>
    <row r="157" spans="1:13">
      <c r="A157">
        <v>156</v>
      </c>
      <c r="B157" s="65535">
        <v>45280</v>
      </c>
      <c r="C157" t="s">
        <v>33</v>
      </c>
      <c r="D157" t="s">
        <v>41</v>
      </c>
      <c r="E157" t="s">
        <v>24</v>
      </c>
      <c r="F157" t="s">
        <v>25</v>
      </c>
      <c r="G157" t="s">
        <v>32</v>
      </c>
      <c r="H157">
        <v>369</v>
      </c>
      <c r="I157">
        <v>4920</v>
      </c>
      <c r="J157">
        <v>1815480</v>
      </c>
      <c r="K157">
        <v>881</v>
      </c>
      <c r="L157">
        <v>325089</v>
      </c>
      <c r="M157">
        <v>1490391</v>
      </c>
    </row>
    <row r="158" spans="1:13">
      <c r="A158">
        <v>157</v>
      </c>
      <c r="B158" s="65535">
        <v>45098</v>
      </c>
      <c r="C158" t="s">
        <v>26</v>
      </c>
      <c r="D158" t="s">
        <v>51</v>
      </c>
      <c r="E158" t="s">
        <v>24</v>
      </c>
      <c r="F158" t="s">
        <v>25</v>
      </c>
      <c r="G158" t="s">
        <v>22</v>
      </c>
      <c r="H158">
        <v>188</v>
      </c>
      <c r="I158">
        <v>3757</v>
      </c>
      <c r="J158">
        <v>706316</v>
      </c>
      <c r="K158">
        <v>1806</v>
      </c>
      <c r="L158">
        <v>339528</v>
      </c>
      <c r="M158">
        <v>366788</v>
      </c>
    </row>
    <row r="159" spans="1:13">
      <c r="A159">
        <v>158</v>
      </c>
      <c r="B159" s="65535">
        <v>45122</v>
      </c>
      <c r="C159" t="s">
        <v>33</v>
      </c>
      <c r="D159" t="s">
        <v>46</v>
      </c>
      <c r="E159" t="s">
        <v>15</v>
      </c>
      <c r="F159" t="s">
        <v>49</v>
      </c>
      <c r="G159" t="s">
        <v>17</v>
      </c>
      <c r="H159">
        <v>37</v>
      </c>
      <c r="I159">
        <v>2696</v>
      </c>
      <c r="J159">
        <v>99752</v>
      </c>
      <c r="K159">
        <v>2247</v>
      </c>
      <c r="L159">
        <v>83139</v>
      </c>
      <c r="M159">
        <v>16613</v>
      </c>
    </row>
    <row r="160" spans="1:13">
      <c r="A160">
        <v>159</v>
      </c>
      <c r="B160" s="65535">
        <v>45284</v>
      </c>
      <c r="C160" t="s">
        <v>33</v>
      </c>
      <c r="D160" t="s">
        <v>41</v>
      </c>
      <c r="E160" t="s">
        <v>30</v>
      </c>
      <c r="F160" t="s">
        <v>40</v>
      </c>
      <c r="G160" t="s">
        <v>17</v>
      </c>
      <c r="H160">
        <v>123</v>
      </c>
      <c r="I160">
        <v>1454</v>
      </c>
      <c r="J160">
        <v>178842</v>
      </c>
      <c r="K160">
        <v>203</v>
      </c>
      <c r="L160">
        <v>24969</v>
      </c>
      <c r="M160">
        <v>153873</v>
      </c>
    </row>
    <row r="161" spans="1:13">
      <c r="A161">
        <v>160</v>
      </c>
      <c r="B161" s="65535">
        <v>45075</v>
      </c>
      <c r="C161" t="s">
        <v>13</v>
      </c>
      <c r="D161" t="s">
        <v>42</v>
      </c>
      <c r="E161" t="s">
        <v>15</v>
      </c>
      <c r="F161" t="s">
        <v>16</v>
      </c>
      <c r="G161" t="s">
        <v>32</v>
      </c>
      <c r="H161">
        <v>412</v>
      </c>
      <c r="I161">
        <v>3430</v>
      </c>
      <c r="J161">
        <v>1413160</v>
      </c>
      <c r="K161">
        <v>706</v>
      </c>
      <c r="L161">
        <v>290872</v>
      </c>
      <c r="M161">
        <v>1122288</v>
      </c>
    </row>
    <row r="162" spans="1:13">
      <c r="A162">
        <v>161</v>
      </c>
      <c r="B162" s="65535">
        <v>44952</v>
      </c>
      <c r="C162" t="s">
        <v>18</v>
      </c>
      <c r="D162" t="s">
        <v>47</v>
      </c>
      <c r="E162" t="s">
        <v>15</v>
      </c>
      <c r="F162" t="s">
        <v>29</v>
      </c>
      <c r="G162" t="s">
        <v>17</v>
      </c>
      <c r="H162">
        <v>290</v>
      </c>
      <c r="I162">
        <v>3470</v>
      </c>
      <c r="J162">
        <v>1006300</v>
      </c>
      <c r="K162">
        <v>1175</v>
      </c>
      <c r="L162">
        <v>340750</v>
      </c>
      <c r="M162">
        <v>665550</v>
      </c>
    </row>
    <row r="163" spans="1:13">
      <c r="A163">
        <v>162</v>
      </c>
      <c r="B163" s="65535">
        <v>44996</v>
      </c>
      <c r="C163" t="s">
        <v>33</v>
      </c>
      <c r="D163" t="s">
        <v>34</v>
      </c>
      <c r="E163" t="s">
        <v>24</v>
      </c>
      <c r="F163" t="s">
        <v>35</v>
      </c>
      <c r="G163" t="s">
        <v>22</v>
      </c>
      <c r="H163">
        <v>256</v>
      </c>
      <c r="I163">
        <v>4781</v>
      </c>
      <c r="J163">
        <v>1223936</v>
      </c>
      <c r="K163">
        <v>1722</v>
      </c>
      <c r="L163">
        <v>440832</v>
      </c>
      <c r="M163">
        <v>783104</v>
      </c>
    </row>
    <row r="164" spans="1:13">
      <c r="A164">
        <v>163</v>
      </c>
      <c r="B164" s="65535">
        <v>45195</v>
      </c>
      <c r="C164" t="s">
        <v>13</v>
      </c>
      <c r="D164" t="s">
        <v>42</v>
      </c>
      <c r="E164" t="s">
        <v>30</v>
      </c>
      <c r="F164" t="s">
        <v>31</v>
      </c>
      <c r="G164" t="s">
        <v>17</v>
      </c>
      <c r="H164">
        <v>136</v>
      </c>
      <c r="I164">
        <v>2185</v>
      </c>
      <c r="J164">
        <v>297160</v>
      </c>
      <c r="K164">
        <v>246</v>
      </c>
      <c r="L164">
        <v>33456</v>
      </c>
      <c r="M164">
        <v>263704</v>
      </c>
    </row>
    <row r="165" spans="1:13">
      <c r="A165">
        <v>164</v>
      </c>
      <c r="B165" s="65535">
        <v>44972</v>
      </c>
      <c r="C165" t="s">
        <v>26</v>
      </c>
      <c r="D165" t="s">
        <v>45</v>
      </c>
      <c r="E165" t="s">
        <v>20</v>
      </c>
      <c r="F165" t="s">
        <v>28</v>
      </c>
      <c r="G165" t="s">
        <v>17</v>
      </c>
      <c r="H165">
        <v>67</v>
      </c>
      <c r="I165">
        <v>3588</v>
      </c>
      <c r="J165">
        <v>240396</v>
      </c>
      <c r="K165">
        <v>1834</v>
      </c>
      <c r="L165">
        <v>122878</v>
      </c>
      <c r="M165">
        <v>117518</v>
      </c>
    </row>
    <row r="166" spans="1:13">
      <c r="A166">
        <v>165</v>
      </c>
      <c r="B166" s="65535">
        <v>45231</v>
      </c>
      <c r="C166" t="s">
        <v>26</v>
      </c>
      <c r="D166" t="s">
        <v>27</v>
      </c>
      <c r="E166" t="s">
        <v>30</v>
      </c>
      <c r="F166" t="s">
        <v>40</v>
      </c>
      <c r="G166" t="s">
        <v>32</v>
      </c>
      <c r="H166">
        <v>345</v>
      </c>
      <c r="I166">
        <v>398</v>
      </c>
      <c r="J166">
        <v>137310</v>
      </c>
      <c r="K166">
        <v>297</v>
      </c>
      <c r="L166">
        <v>102465</v>
      </c>
      <c r="M166">
        <v>34845</v>
      </c>
    </row>
    <row r="167" spans="1:13">
      <c r="A167">
        <v>166</v>
      </c>
      <c r="B167" s="65535">
        <v>45246</v>
      </c>
      <c r="C167" t="s">
        <v>26</v>
      </c>
      <c r="D167" t="s">
        <v>36</v>
      </c>
      <c r="E167" t="s">
        <v>20</v>
      </c>
      <c r="F167" t="s">
        <v>28</v>
      </c>
      <c r="G167" t="s">
        <v>32</v>
      </c>
      <c r="H167">
        <v>84</v>
      </c>
      <c r="I167">
        <v>3808</v>
      </c>
      <c r="J167">
        <v>319872</v>
      </c>
      <c r="K167">
        <v>283</v>
      </c>
      <c r="L167">
        <v>23772</v>
      </c>
      <c r="M167">
        <v>296100</v>
      </c>
    </row>
    <row r="168" spans="1:13">
      <c r="A168">
        <v>167</v>
      </c>
      <c r="B168" s="65535">
        <v>44970</v>
      </c>
      <c r="C168" t="s">
        <v>18</v>
      </c>
      <c r="D168" t="s">
        <v>38</v>
      </c>
      <c r="E168" t="s">
        <v>20</v>
      </c>
      <c r="F168" t="s">
        <v>44</v>
      </c>
      <c r="G168" t="s">
        <v>17</v>
      </c>
      <c r="H168">
        <v>67</v>
      </c>
      <c r="I168">
        <v>646</v>
      </c>
      <c r="J168">
        <v>43282</v>
      </c>
      <c r="K168">
        <v>224</v>
      </c>
      <c r="L168">
        <v>15008</v>
      </c>
      <c r="M168">
        <v>28274</v>
      </c>
    </row>
    <row r="169" spans="1:13">
      <c r="A169">
        <v>168</v>
      </c>
      <c r="B169" s="65535">
        <v>44983</v>
      </c>
      <c r="C169" t="s">
        <v>18</v>
      </c>
      <c r="D169" t="s">
        <v>47</v>
      </c>
      <c r="E169" t="s">
        <v>15</v>
      </c>
      <c r="F169" t="s">
        <v>29</v>
      </c>
      <c r="G169" t="s">
        <v>17</v>
      </c>
      <c r="H169">
        <v>166</v>
      </c>
      <c r="I169">
        <v>3886</v>
      </c>
      <c r="J169">
        <v>645076</v>
      </c>
      <c r="K169">
        <v>2029</v>
      </c>
      <c r="L169">
        <v>336814</v>
      </c>
      <c r="M169">
        <v>308262</v>
      </c>
    </row>
    <row r="170" spans="1:13">
      <c r="A170">
        <v>169</v>
      </c>
      <c r="B170" s="65535">
        <v>45035</v>
      </c>
      <c r="C170" t="s">
        <v>33</v>
      </c>
      <c r="D170" t="s">
        <v>41</v>
      </c>
      <c r="E170" t="s">
        <v>30</v>
      </c>
      <c r="F170" t="s">
        <v>31</v>
      </c>
      <c r="G170" t="s">
        <v>17</v>
      </c>
      <c r="H170">
        <v>114</v>
      </c>
      <c r="I170">
        <v>4676</v>
      </c>
      <c r="J170">
        <v>533064</v>
      </c>
      <c r="K170">
        <v>4386</v>
      </c>
      <c r="L170">
        <v>500004</v>
      </c>
      <c r="M170">
        <v>33060</v>
      </c>
    </row>
    <row r="171" spans="1:13">
      <c r="A171">
        <v>170</v>
      </c>
      <c r="B171" s="65535">
        <v>45269</v>
      </c>
      <c r="C171" t="s">
        <v>26</v>
      </c>
      <c r="D171" t="s">
        <v>45</v>
      </c>
      <c r="E171" t="s">
        <v>30</v>
      </c>
      <c r="F171" t="s">
        <v>31</v>
      </c>
      <c r="G171" t="s">
        <v>17</v>
      </c>
      <c r="H171">
        <v>19</v>
      </c>
      <c r="I171">
        <v>3285</v>
      </c>
      <c r="J171">
        <v>62415</v>
      </c>
      <c r="K171">
        <v>2487</v>
      </c>
      <c r="L171">
        <v>47253</v>
      </c>
      <c r="M171">
        <v>15162</v>
      </c>
    </row>
    <row r="172" spans="1:13">
      <c r="A172">
        <v>171</v>
      </c>
      <c r="B172" s="65535">
        <v>45029</v>
      </c>
      <c r="C172" t="s">
        <v>33</v>
      </c>
      <c r="D172" t="s">
        <v>41</v>
      </c>
      <c r="E172" t="s">
        <v>30</v>
      </c>
      <c r="F172" t="s">
        <v>37</v>
      </c>
      <c r="G172" t="s">
        <v>32</v>
      </c>
      <c r="H172">
        <v>414</v>
      </c>
      <c r="I172">
        <v>2422</v>
      </c>
      <c r="J172">
        <v>1002708</v>
      </c>
      <c r="K172">
        <v>317</v>
      </c>
      <c r="L172">
        <v>131238</v>
      </c>
      <c r="M172">
        <v>871470</v>
      </c>
    </row>
    <row r="173" spans="1:13">
      <c r="A173">
        <v>172</v>
      </c>
      <c r="B173" s="65535">
        <v>45065</v>
      </c>
      <c r="C173" t="s">
        <v>13</v>
      </c>
      <c r="D173" t="s">
        <v>14</v>
      </c>
      <c r="E173" t="s">
        <v>15</v>
      </c>
      <c r="F173" t="s">
        <v>29</v>
      </c>
      <c r="G173" t="s">
        <v>17</v>
      </c>
      <c r="H173">
        <v>349</v>
      </c>
      <c r="I173">
        <v>3150</v>
      </c>
      <c r="J173">
        <v>1099350</v>
      </c>
      <c r="K173">
        <v>541</v>
      </c>
      <c r="L173">
        <v>188809</v>
      </c>
      <c r="M173">
        <v>910541</v>
      </c>
    </row>
    <row r="174" spans="1:13">
      <c r="A174">
        <v>173</v>
      </c>
      <c r="B174" s="65535">
        <v>45187</v>
      </c>
      <c r="C174" t="s">
        <v>33</v>
      </c>
      <c r="D174" t="s">
        <v>41</v>
      </c>
      <c r="E174" t="s">
        <v>24</v>
      </c>
      <c r="F174" t="s">
        <v>25</v>
      </c>
      <c r="G174" t="s">
        <v>32</v>
      </c>
      <c r="H174">
        <v>373</v>
      </c>
      <c r="I174">
        <v>1015</v>
      </c>
      <c r="J174">
        <v>378595</v>
      </c>
      <c r="K174">
        <v>423</v>
      </c>
      <c r="L174">
        <v>157779</v>
      </c>
      <c r="M174">
        <v>220816</v>
      </c>
    </row>
    <row r="175" spans="1:13">
      <c r="A175">
        <v>174</v>
      </c>
      <c r="B175" s="65535">
        <v>45161</v>
      </c>
      <c r="C175" t="s">
        <v>13</v>
      </c>
      <c r="D175" t="s">
        <v>14</v>
      </c>
      <c r="E175" t="s">
        <v>30</v>
      </c>
      <c r="F175" t="s">
        <v>37</v>
      </c>
      <c r="G175" t="s">
        <v>17</v>
      </c>
      <c r="H175">
        <v>297</v>
      </c>
      <c r="I175">
        <v>376</v>
      </c>
      <c r="J175">
        <v>111672</v>
      </c>
      <c r="K175">
        <v>110</v>
      </c>
      <c r="L175">
        <v>32670</v>
      </c>
      <c r="M175">
        <v>79002</v>
      </c>
    </row>
    <row r="176" spans="1:13">
      <c r="A176">
        <v>175</v>
      </c>
      <c r="B176" s="65535">
        <v>45007</v>
      </c>
      <c r="C176" t="s">
        <v>18</v>
      </c>
      <c r="D176" t="s">
        <v>47</v>
      </c>
      <c r="E176" t="s">
        <v>20</v>
      </c>
      <c r="F176" t="s">
        <v>21</v>
      </c>
      <c r="G176" t="s">
        <v>32</v>
      </c>
      <c r="H176">
        <v>19</v>
      </c>
      <c r="I176">
        <v>3040</v>
      </c>
      <c r="J176">
        <v>57760</v>
      </c>
      <c r="K176">
        <v>2902</v>
      </c>
      <c r="L176">
        <v>55138</v>
      </c>
      <c r="M176">
        <v>2622</v>
      </c>
    </row>
    <row r="177" spans="1:13">
      <c r="A177">
        <v>176</v>
      </c>
      <c r="B177" s="65535">
        <v>45068</v>
      </c>
      <c r="C177" t="s">
        <v>26</v>
      </c>
      <c r="D177" t="s">
        <v>27</v>
      </c>
      <c r="E177" t="s">
        <v>20</v>
      </c>
      <c r="F177" t="s">
        <v>44</v>
      </c>
      <c r="G177" t="s">
        <v>17</v>
      </c>
      <c r="H177">
        <v>425</v>
      </c>
      <c r="I177">
        <v>707</v>
      </c>
      <c r="J177">
        <v>300475</v>
      </c>
      <c r="K177">
        <v>363</v>
      </c>
      <c r="L177">
        <v>154275</v>
      </c>
      <c r="M177">
        <v>146200</v>
      </c>
    </row>
    <row r="178" spans="1:13">
      <c r="A178">
        <v>177</v>
      </c>
      <c r="B178" s="65535">
        <v>45101</v>
      </c>
      <c r="C178" t="s">
        <v>13</v>
      </c>
      <c r="D178" t="s">
        <v>14</v>
      </c>
      <c r="E178" t="s">
        <v>20</v>
      </c>
      <c r="F178" t="s">
        <v>44</v>
      </c>
      <c r="G178" t="s">
        <v>22</v>
      </c>
      <c r="H178">
        <v>469</v>
      </c>
      <c r="I178">
        <v>3418</v>
      </c>
      <c r="J178">
        <v>1603042</v>
      </c>
      <c r="K178">
        <v>2790</v>
      </c>
      <c r="L178">
        <v>1308510</v>
      </c>
      <c r="M178">
        <v>294532</v>
      </c>
    </row>
    <row r="179" spans="1:13">
      <c r="A179">
        <v>178</v>
      </c>
      <c r="B179" s="65535">
        <v>45240</v>
      </c>
      <c r="C179" t="s">
        <v>18</v>
      </c>
      <c r="D179" t="s">
        <v>50</v>
      </c>
      <c r="E179" t="s">
        <v>24</v>
      </c>
      <c r="F179" t="s">
        <v>35</v>
      </c>
      <c r="G179" t="s">
        <v>17</v>
      </c>
      <c r="H179">
        <v>456</v>
      </c>
      <c r="I179">
        <v>2063</v>
      </c>
      <c r="J179">
        <v>940728</v>
      </c>
      <c r="K179">
        <v>954</v>
      </c>
      <c r="L179">
        <v>435024</v>
      </c>
      <c r="M179">
        <v>505704</v>
      </c>
    </row>
    <row r="180" spans="1:13">
      <c r="A180">
        <v>179</v>
      </c>
      <c r="B180" s="65535">
        <v>45095</v>
      </c>
      <c r="C180" t="s">
        <v>18</v>
      </c>
      <c r="D180" t="s">
        <v>38</v>
      </c>
      <c r="E180" t="s">
        <v>24</v>
      </c>
      <c r="F180" t="s">
        <v>48</v>
      </c>
      <c r="G180" t="s">
        <v>17</v>
      </c>
      <c r="H180">
        <v>239</v>
      </c>
      <c r="I180">
        <v>4641</v>
      </c>
      <c r="J180">
        <v>1109199</v>
      </c>
      <c r="K180">
        <v>1179</v>
      </c>
      <c r="L180">
        <v>281781</v>
      </c>
      <c r="M180">
        <v>827418</v>
      </c>
    </row>
    <row r="181" spans="1:13">
      <c r="A181">
        <v>180</v>
      </c>
      <c r="B181" s="65535">
        <v>45279</v>
      </c>
      <c r="C181" t="s">
        <v>18</v>
      </c>
      <c r="D181" t="s">
        <v>38</v>
      </c>
      <c r="E181" t="s">
        <v>30</v>
      </c>
      <c r="F181" t="s">
        <v>37</v>
      </c>
      <c r="G181" t="s">
        <v>32</v>
      </c>
      <c r="H181">
        <v>371</v>
      </c>
      <c r="I181">
        <v>4491</v>
      </c>
      <c r="J181">
        <v>1666161</v>
      </c>
      <c r="K181">
        <v>1207</v>
      </c>
      <c r="L181">
        <v>447797</v>
      </c>
      <c r="M181">
        <v>1218364</v>
      </c>
    </row>
    <row r="182" spans="1:13">
      <c r="A182">
        <v>181</v>
      </c>
      <c r="B182" s="65535">
        <v>45212</v>
      </c>
      <c r="C182" t="s">
        <v>13</v>
      </c>
      <c r="D182" t="s">
        <v>43</v>
      </c>
      <c r="E182" t="s">
        <v>30</v>
      </c>
      <c r="F182" t="s">
        <v>40</v>
      </c>
      <c r="G182" t="s">
        <v>22</v>
      </c>
      <c r="H182">
        <v>282</v>
      </c>
      <c r="I182">
        <v>1169</v>
      </c>
      <c r="J182">
        <v>329658</v>
      </c>
      <c r="K182">
        <v>288</v>
      </c>
      <c r="L182">
        <v>81216</v>
      </c>
      <c r="M182">
        <v>248442</v>
      </c>
    </row>
    <row r="183" spans="1:13">
      <c r="A183">
        <v>182</v>
      </c>
      <c r="B183" s="65535">
        <v>45137</v>
      </c>
      <c r="C183" t="s">
        <v>26</v>
      </c>
      <c r="D183" t="s">
        <v>36</v>
      </c>
      <c r="E183" t="s">
        <v>15</v>
      </c>
      <c r="F183" t="s">
        <v>29</v>
      </c>
      <c r="G183" t="s">
        <v>32</v>
      </c>
      <c r="H183">
        <v>165</v>
      </c>
      <c r="I183">
        <v>3829</v>
      </c>
      <c r="J183">
        <v>631785</v>
      </c>
      <c r="K183">
        <v>3154</v>
      </c>
      <c r="L183">
        <v>520410</v>
      </c>
      <c r="M183">
        <v>111375</v>
      </c>
    </row>
    <row r="184" spans="1:13">
      <c r="A184">
        <v>183</v>
      </c>
      <c r="B184" s="65535">
        <v>45021</v>
      </c>
      <c r="C184" t="s">
        <v>26</v>
      </c>
      <c r="D184" t="s">
        <v>36</v>
      </c>
      <c r="E184" t="s">
        <v>30</v>
      </c>
      <c r="F184" t="s">
        <v>37</v>
      </c>
      <c r="G184" t="s">
        <v>22</v>
      </c>
      <c r="H184">
        <v>23</v>
      </c>
      <c r="I184">
        <v>2386</v>
      </c>
      <c r="J184">
        <v>54878</v>
      </c>
      <c r="K184">
        <v>1045</v>
      </c>
      <c r="L184">
        <v>24035</v>
      </c>
      <c r="M184">
        <v>30843</v>
      </c>
    </row>
    <row r="185" spans="1:13">
      <c r="A185">
        <v>184</v>
      </c>
      <c r="B185" s="65535">
        <v>45279</v>
      </c>
      <c r="C185" t="s">
        <v>18</v>
      </c>
      <c r="D185" t="s">
        <v>38</v>
      </c>
      <c r="E185" t="s">
        <v>15</v>
      </c>
      <c r="F185" t="s">
        <v>29</v>
      </c>
      <c r="G185" t="s">
        <v>22</v>
      </c>
      <c r="H185">
        <v>409</v>
      </c>
      <c r="I185">
        <v>4104</v>
      </c>
      <c r="J185">
        <v>1678536</v>
      </c>
      <c r="K185">
        <v>649</v>
      </c>
      <c r="L185">
        <v>265441</v>
      </c>
      <c r="M185">
        <v>1413095</v>
      </c>
    </row>
    <row r="186" spans="1:13">
      <c r="A186">
        <v>185</v>
      </c>
      <c r="B186" s="65535">
        <v>45169</v>
      </c>
      <c r="C186" t="s">
        <v>13</v>
      </c>
      <c r="D186" t="s">
        <v>23</v>
      </c>
      <c r="E186" t="s">
        <v>30</v>
      </c>
      <c r="F186" t="s">
        <v>40</v>
      </c>
      <c r="G186" t="s">
        <v>32</v>
      </c>
      <c r="H186">
        <v>80</v>
      </c>
      <c r="I186">
        <v>1541</v>
      </c>
      <c r="J186">
        <v>123280</v>
      </c>
      <c r="K186">
        <v>495</v>
      </c>
      <c r="L186">
        <v>39600</v>
      </c>
      <c r="M186">
        <v>83680</v>
      </c>
    </row>
    <row r="187" spans="1:13">
      <c r="A187">
        <v>186</v>
      </c>
      <c r="B187" s="65535">
        <v>45138</v>
      </c>
      <c r="C187" t="s">
        <v>18</v>
      </c>
      <c r="D187" t="s">
        <v>50</v>
      </c>
      <c r="E187" t="s">
        <v>24</v>
      </c>
      <c r="F187" t="s">
        <v>25</v>
      </c>
      <c r="G187" t="s">
        <v>32</v>
      </c>
      <c r="H187">
        <v>123</v>
      </c>
      <c r="I187">
        <v>1861</v>
      </c>
      <c r="J187">
        <v>228903</v>
      </c>
      <c r="K187">
        <v>1651</v>
      </c>
      <c r="L187">
        <v>203073</v>
      </c>
      <c r="M187">
        <v>25830</v>
      </c>
    </row>
    <row r="188" spans="1:13">
      <c r="A188">
        <v>187</v>
      </c>
      <c r="B188" s="65535">
        <v>45177</v>
      </c>
      <c r="C188" t="s">
        <v>18</v>
      </c>
      <c r="D188" t="s">
        <v>50</v>
      </c>
      <c r="E188" t="s">
        <v>30</v>
      </c>
      <c r="F188" t="s">
        <v>40</v>
      </c>
      <c r="G188" t="s">
        <v>17</v>
      </c>
      <c r="H188">
        <v>362</v>
      </c>
      <c r="I188">
        <v>2861</v>
      </c>
      <c r="J188">
        <v>1035682</v>
      </c>
      <c r="K188">
        <v>1974</v>
      </c>
      <c r="L188">
        <v>714588</v>
      </c>
      <c r="M188">
        <v>321094</v>
      </c>
    </row>
    <row r="189" spans="1:13">
      <c r="A189">
        <v>188</v>
      </c>
      <c r="B189" s="65535">
        <v>45121</v>
      </c>
      <c r="C189" t="s">
        <v>18</v>
      </c>
      <c r="D189" t="s">
        <v>19</v>
      </c>
      <c r="E189" t="s">
        <v>24</v>
      </c>
      <c r="F189" t="s">
        <v>25</v>
      </c>
      <c r="G189" t="s">
        <v>17</v>
      </c>
      <c r="H189">
        <v>378</v>
      </c>
      <c r="I189">
        <v>2763</v>
      </c>
      <c r="J189">
        <v>1044414</v>
      </c>
      <c r="K189">
        <v>1714</v>
      </c>
      <c r="L189">
        <v>647892</v>
      </c>
      <c r="M189">
        <v>396522</v>
      </c>
    </row>
    <row r="190" spans="1:13">
      <c r="A190">
        <v>189</v>
      </c>
      <c r="B190" s="65535">
        <v>45052</v>
      </c>
      <c r="C190" t="s">
        <v>33</v>
      </c>
      <c r="D190" t="s">
        <v>39</v>
      </c>
      <c r="E190" t="s">
        <v>24</v>
      </c>
      <c r="F190" t="s">
        <v>48</v>
      </c>
      <c r="G190" t="s">
        <v>22</v>
      </c>
      <c r="H190">
        <v>275</v>
      </c>
      <c r="I190">
        <v>4606</v>
      </c>
      <c r="J190">
        <v>1266650</v>
      </c>
      <c r="K190">
        <v>3340</v>
      </c>
      <c r="L190">
        <v>918500</v>
      </c>
      <c r="M190">
        <v>348150</v>
      </c>
    </row>
    <row r="191" spans="1:13">
      <c r="A191">
        <v>190</v>
      </c>
      <c r="B191" s="65535">
        <v>45152</v>
      </c>
      <c r="C191" t="s">
        <v>33</v>
      </c>
      <c r="D191" t="s">
        <v>34</v>
      </c>
      <c r="E191" t="s">
        <v>15</v>
      </c>
      <c r="F191" t="s">
        <v>16</v>
      </c>
      <c r="G191" t="s">
        <v>32</v>
      </c>
      <c r="H191">
        <v>213</v>
      </c>
      <c r="I191">
        <v>2694</v>
      </c>
      <c r="J191">
        <v>573822</v>
      </c>
      <c r="K191">
        <v>1271</v>
      </c>
      <c r="L191">
        <v>270723</v>
      </c>
      <c r="M191">
        <v>303099</v>
      </c>
    </row>
    <row r="192" spans="1:13">
      <c r="A192">
        <v>191</v>
      </c>
      <c r="B192" s="65535">
        <v>44954</v>
      </c>
      <c r="C192" t="s">
        <v>13</v>
      </c>
      <c r="D192" t="s">
        <v>43</v>
      </c>
      <c r="E192" t="s">
        <v>24</v>
      </c>
      <c r="F192" t="s">
        <v>48</v>
      </c>
      <c r="G192" t="s">
        <v>17</v>
      </c>
      <c r="H192">
        <v>363</v>
      </c>
      <c r="I192">
        <v>4435</v>
      </c>
      <c r="J192">
        <v>1609905</v>
      </c>
      <c r="K192">
        <v>1265</v>
      </c>
      <c r="L192">
        <v>459195</v>
      </c>
      <c r="M192">
        <v>1150710</v>
      </c>
    </row>
    <row r="193" spans="1:13">
      <c r="A193">
        <v>192</v>
      </c>
      <c r="B193" s="65535">
        <v>44984</v>
      </c>
      <c r="C193" t="s">
        <v>13</v>
      </c>
      <c r="D193" t="s">
        <v>42</v>
      </c>
      <c r="E193" t="s">
        <v>15</v>
      </c>
      <c r="F193" t="s">
        <v>49</v>
      </c>
      <c r="G193" t="s">
        <v>17</v>
      </c>
      <c r="H193">
        <v>102</v>
      </c>
      <c r="I193">
        <v>4995</v>
      </c>
      <c r="J193">
        <v>509490</v>
      </c>
      <c r="K193">
        <v>4576</v>
      </c>
      <c r="L193">
        <v>466752</v>
      </c>
      <c r="M193">
        <v>42738</v>
      </c>
    </row>
    <row r="194" spans="1:13">
      <c r="A194">
        <v>193</v>
      </c>
      <c r="B194" s="65535">
        <v>44939</v>
      </c>
      <c r="C194" t="s">
        <v>18</v>
      </c>
      <c r="D194" t="s">
        <v>19</v>
      </c>
      <c r="E194" t="s">
        <v>24</v>
      </c>
      <c r="F194" t="s">
        <v>48</v>
      </c>
      <c r="G194" t="s">
        <v>32</v>
      </c>
      <c r="H194">
        <v>101</v>
      </c>
      <c r="I194">
        <v>3916</v>
      </c>
      <c r="J194">
        <v>395516</v>
      </c>
      <c r="K194">
        <v>2517</v>
      </c>
      <c r="L194">
        <v>254217</v>
      </c>
      <c r="M194">
        <v>141299</v>
      </c>
    </row>
    <row r="195" spans="1:13">
      <c r="A195">
        <v>194</v>
      </c>
      <c r="B195" s="65535">
        <v>45281</v>
      </c>
      <c r="C195" t="s">
        <v>18</v>
      </c>
      <c r="D195" t="s">
        <v>19</v>
      </c>
      <c r="E195" t="s">
        <v>15</v>
      </c>
      <c r="F195" t="s">
        <v>29</v>
      </c>
      <c r="G195" t="s">
        <v>32</v>
      </c>
      <c r="H195">
        <v>342</v>
      </c>
      <c r="I195">
        <v>1543</v>
      </c>
      <c r="J195">
        <v>527706</v>
      </c>
      <c r="K195">
        <v>353</v>
      </c>
      <c r="L195">
        <v>120726</v>
      </c>
      <c r="M195">
        <v>406980</v>
      </c>
    </row>
    <row r="196" spans="1:13">
      <c r="A196">
        <v>195</v>
      </c>
      <c r="B196" s="65535">
        <v>44970</v>
      </c>
      <c r="C196" t="s">
        <v>33</v>
      </c>
      <c r="D196" t="s">
        <v>39</v>
      </c>
      <c r="E196" t="s">
        <v>24</v>
      </c>
      <c r="F196" t="s">
        <v>35</v>
      </c>
      <c r="G196" t="s">
        <v>32</v>
      </c>
      <c r="H196">
        <v>278</v>
      </c>
      <c r="I196">
        <v>3346</v>
      </c>
      <c r="J196">
        <v>930188</v>
      </c>
      <c r="K196">
        <v>3077</v>
      </c>
      <c r="L196">
        <v>855406</v>
      </c>
      <c r="M196">
        <v>74782</v>
      </c>
    </row>
    <row r="197" spans="1:13">
      <c r="A197">
        <v>196</v>
      </c>
      <c r="B197" s="65535">
        <v>45098</v>
      </c>
      <c r="C197" t="s">
        <v>18</v>
      </c>
      <c r="D197" t="s">
        <v>19</v>
      </c>
      <c r="E197" t="s">
        <v>24</v>
      </c>
      <c r="F197" t="s">
        <v>25</v>
      </c>
      <c r="G197" t="s">
        <v>22</v>
      </c>
      <c r="H197">
        <v>299</v>
      </c>
      <c r="I197">
        <v>1429</v>
      </c>
      <c r="J197">
        <v>427271</v>
      </c>
      <c r="K197">
        <v>432</v>
      </c>
      <c r="L197">
        <v>129168</v>
      </c>
      <c r="M197">
        <v>298103</v>
      </c>
    </row>
    <row r="198" spans="1:13">
      <c r="A198">
        <v>197</v>
      </c>
      <c r="B198" s="65535">
        <v>45085</v>
      </c>
      <c r="C198" t="s">
        <v>18</v>
      </c>
      <c r="D198" t="s">
        <v>38</v>
      </c>
      <c r="E198" t="s">
        <v>15</v>
      </c>
      <c r="F198" t="s">
        <v>29</v>
      </c>
      <c r="G198" t="s">
        <v>32</v>
      </c>
      <c r="H198">
        <v>383</v>
      </c>
      <c r="I198">
        <v>3855</v>
      </c>
      <c r="J198">
        <v>1476465</v>
      </c>
      <c r="K198">
        <v>1282</v>
      </c>
      <c r="L198">
        <v>491006</v>
      </c>
      <c r="M198">
        <v>985459</v>
      </c>
    </row>
    <row r="199" spans="1:13">
      <c r="A199">
        <v>198</v>
      </c>
      <c r="B199" s="65535">
        <v>45245</v>
      </c>
      <c r="C199" t="s">
        <v>18</v>
      </c>
      <c r="D199" t="s">
        <v>50</v>
      </c>
      <c r="E199" t="s">
        <v>30</v>
      </c>
      <c r="F199" t="s">
        <v>37</v>
      </c>
      <c r="G199" t="s">
        <v>22</v>
      </c>
      <c r="H199">
        <v>401</v>
      </c>
      <c r="I199">
        <v>2273</v>
      </c>
      <c r="J199">
        <v>911473</v>
      </c>
      <c r="K199">
        <v>150</v>
      </c>
      <c r="L199">
        <v>60150</v>
      </c>
      <c r="M199">
        <v>851323</v>
      </c>
    </row>
    <row r="200" spans="1:13">
      <c r="A200">
        <v>199</v>
      </c>
      <c r="B200" s="65535">
        <v>45238</v>
      </c>
      <c r="C200" t="s">
        <v>13</v>
      </c>
      <c r="D200" t="s">
        <v>42</v>
      </c>
      <c r="E200" t="s">
        <v>24</v>
      </c>
      <c r="F200" t="s">
        <v>35</v>
      </c>
      <c r="G200" t="s">
        <v>22</v>
      </c>
      <c r="H200">
        <v>461</v>
      </c>
      <c r="I200">
        <v>4242</v>
      </c>
      <c r="J200">
        <v>1955562</v>
      </c>
      <c r="K200">
        <v>1074</v>
      </c>
      <c r="L200">
        <v>495114</v>
      </c>
      <c r="M200">
        <v>1460448</v>
      </c>
    </row>
    <row r="201" spans="1:13">
      <c r="A201">
        <v>200</v>
      </c>
      <c r="B201" s="65535">
        <v>44967</v>
      </c>
      <c r="C201" t="s">
        <v>18</v>
      </c>
      <c r="D201" t="s">
        <v>19</v>
      </c>
      <c r="E201" t="s">
        <v>24</v>
      </c>
      <c r="F201" t="s">
        <v>48</v>
      </c>
      <c r="G201" t="s">
        <v>32</v>
      </c>
      <c r="H201">
        <v>317</v>
      </c>
      <c r="I201">
        <v>253</v>
      </c>
      <c r="J201">
        <v>80201</v>
      </c>
      <c r="K201">
        <v>131</v>
      </c>
      <c r="L201">
        <v>41527</v>
      </c>
      <c r="M201">
        <v>38674</v>
      </c>
    </row>
    <row r="202" spans="1:13">
      <c r="A202">
        <v>201</v>
      </c>
      <c r="B202" s="65535">
        <v>44955</v>
      </c>
      <c r="C202" t="s">
        <v>26</v>
      </c>
      <c r="D202" t="s">
        <v>36</v>
      </c>
      <c r="E202" t="s">
        <v>15</v>
      </c>
      <c r="F202" t="s">
        <v>16</v>
      </c>
      <c r="G202" t="s">
        <v>22</v>
      </c>
      <c r="H202">
        <v>344</v>
      </c>
      <c r="I202">
        <v>3059</v>
      </c>
      <c r="J202">
        <v>1052296</v>
      </c>
      <c r="K202">
        <v>250</v>
      </c>
      <c r="L202">
        <v>86000</v>
      </c>
      <c r="M202">
        <v>966296</v>
      </c>
    </row>
    <row r="203" spans="1:13">
      <c r="A203">
        <v>202</v>
      </c>
      <c r="B203" s="65535">
        <v>44952</v>
      </c>
      <c r="C203" t="s">
        <v>18</v>
      </c>
      <c r="D203" t="s">
        <v>50</v>
      </c>
      <c r="E203" t="s">
        <v>20</v>
      </c>
      <c r="F203" t="s">
        <v>21</v>
      </c>
      <c r="G203" t="s">
        <v>22</v>
      </c>
      <c r="H203">
        <v>65</v>
      </c>
      <c r="I203">
        <v>3615</v>
      </c>
      <c r="J203">
        <v>234975</v>
      </c>
      <c r="K203">
        <v>830</v>
      </c>
      <c r="L203">
        <v>53950</v>
      </c>
      <c r="M203">
        <v>181025</v>
      </c>
    </row>
    <row r="204" spans="1:13">
      <c r="A204">
        <v>203</v>
      </c>
      <c r="B204" s="65535">
        <v>45223</v>
      </c>
      <c r="C204" t="s">
        <v>18</v>
      </c>
      <c r="D204" t="s">
        <v>47</v>
      </c>
      <c r="E204" t="s">
        <v>30</v>
      </c>
      <c r="F204" t="s">
        <v>40</v>
      </c>
      <c r="G204" t="s">
        <v>17</v>
      </c>
      <c r="H204">
        <v>194</v>
      </c>
      <c r="I204">
        <v>493</v>
      </c>
      <c r="J204">
        <v>95642</v>
      </c>
      <c r="K204">
        <v>147</v>
      </c>
      <c r="L204">
        <v>28518</v>
      </c>
      <c r="M204">
        <v>67124</v>
      </c>
    </row>
    <row r="205" spans="1:13">
      <c r="A205">
        <v>204</v>
      </c>
      <c r="B205" s="65535">
        <v>45145</v>
      </c>
      <c r="C205" t="s">
        <v>26</v>
      </c>
      <c r="D205" t="s">
        <v>27</v>
      </c>
      <c r="E205" t="s">
        <v>20</v>
      </c>
      <c r="F205" t="s">
        <v>21</v>
      </c>
      <c r="G205" t="s">
        <v>22</v>
      </c>
      <c r="H205">
        <v>441</v>
      </c>
      <c r="I205">
        <v>4709</v>
      </c>
      <c r="J205">
        <v>2076669</v>
      </c>
      <c r="K205">
        <v>631</v>
      </c>
      <c r="L205">
        <v>278271</v>
      </c>
      <c r="M205">
        <v>1798398</v>
      </c>
    </row>
    <row r="206" spans="1:13">
      <c r="A206">
        <v>205</v>
      </c>
      <c r="B206" s="65535">
        <v>45067</v>
      </c>
      <c r="C206" t="s">
        <v>26</v>
      </c>
      <c r="D206" t="s">
        <v>45</v>
      </c>
      <c r="E206" t="s">
        <v>30</v>
      </c>
      <c r="F206" t="s">
        <v>37</v>
      </c>
      <c r="G206" t="s">
        <v>17</v>
      </c>
      <c r="H206">
        <v>178</v>
      </c>
      <c r="I206">
        <v>4517</v>
      </c>
      <c r="J206">
        <v>804026</v>
      </c>
      <c r="K206">
        <v>3489</v>
      </c>
      <c r="L206">
        <v>621042</v>
      </c>
      <c r="M206">
        <v>182984</v>
      </c>
    </row>
    <row r="207" spans="1:13">
      <c r="A207">
        <v>206</v>
      </c>
      <c r="B207" s="65535">
        <v>45249</v>
      </c>
      <c r="C207" t="s">
        <v>18</v>
      </c>
      <c r="D207" t="s">
        <v>38</v>
      </c>
      <c r="E207" t="s">
        <v>15</v>
      </c>
      <c r="F207" t="s">
        <v>16</v>
      </c>
      <c r="G207" t="s">
        <v>17</v>
      </c>
      <c r="H207">
        <v>280</v>
      </c>
      <c r="I207">
        <v>918</v>
      </c>
      <c r="J207">
        <v>257040</v>
      </c>
      <c r="K207">
        <v>595</v>
      </c>
      <c r="L207">
        <v>166600</v>
      </c>
      <c r="M207">
        <v>90440</v>
      </c>
    </row>
    <row r="208" spans="1:13">
      <c r="A208">
        <v>207</v>
      </c>
      <c r="B208" s="65535">
        <v>45221</v>
      </c>
      <c r="C208" t="s">
        <v>26</v>
      </c>
      <c r="D208" t="s">
        <v>45</v>
      </c>
      <c r="E208" t="s">
        <v>20</v>
      </c>
      <c r="F208" t="s">
        <v>21</v>
      </c>
      <c r="G208" t="s">
        <v>17</v>
      </c>
      <c r="H208">
        <v>329</v>
      </c>
      <c r="I208">
        <v>3098</v>
      </c>
      <c r="J208">
        <v>1019242</v>
      </c>
      <c r="K208">
        <v>631</v>
      </c>
      <c r="L208">
        <v>207599</v>
      </c>
      <c r="M208">
        <v>811643</v>
      </c>
    </row>
    <row r="209" spans="1:13">
      <c r="A209">
        <v>208</v>
      </c>
      <c r="B209" s="65535">
        <v>45046</v>
      </c>
      <c r="C209" t="s">
        <v>13</v>
      </c>
      <c r="D209" t="s">
        <v>42</v>
      </c>
      <c r="E209" t="s">
        <v>24</v>
      </c>
      <c r="F209" t="s">
        <v>25</v>
      </c>
      <c r="G209" t="s">
        <v>17</v>
      </c>
      <c r="H209">
        <v>372</v>
      </c>
      <c r="I209">
        <v>2579</v>
      </c>
      <c r="J209">
        <v>959388</v>
      </c>
      <c r="K209">
        <v>892</v>
      </c>
      <c r="L209">
        <v>331824</v>
      </c>
      <c r="M209">
        <v>627564</v>
      </c>
    </row>
    <row r="210" spans="1:13">
      <c r="A210">
        <v>209</v>
      </c>
      <c r="B210" s="65535">
        <v>44987</v>
      </c>
      <c r="C210" t="s">
        <v>33</v>
      </c>
      <c r="D210" t="s">
        <v>39</v>
      </c>
      <c r="E210" t="s">
        <v>15</v>
      </c>
      <c r="F210" t="s">
        <v>29</v>
      </c>
      <c r="G210" t="s">
        <v>17</v>
      </c>
      <c r="H210">
        <v>387</v>
      </c>
      <c r="I210">
        <v>1898</v>
      </c>
      <c r="J210">
        <v>734526</v>
      </c>
      <c r="K210">
        <v>1737</v>
      </c>
      <c r="L210">
        <v>672219</v>
      </c>
      <c r="M210">
        <v>62307</v>
      </c>
    </row>
    <row r="211" spans="1:13">
      <c r="A211">
        <v>210</v>
      </c>
      <c r="B211" s="65535">
        <v>45213</v>
      </c>
      <c r="C211" t="s">
        <v>13</v>
      </c>
      <c r="D211" t="s">
        <v>42</v>
      </c>
      <c r="E211" t="s">
        <v>15</v>
      </c>
      <c r="F211" t="s">
        <v>29</v>
      </c>
      <c r="G211" t="s">
        <v>32</v>
      </c>
      <c r="H211">
        <v>422</v>
      </c>
      <c r="I211">
        <v>1939</v>
      </c>
      <c r="J211">
        <v>818258</v>
      </c>
      <c r="K211">
        <v>123</v>
      </c>
      <c r="L211">
        <v>51906</v>
      </c>
      <c r="M211">
        <v>766352</v>
      </c>
    </row>
    <row r="212" spans="1:13">
      <c r="A212">
        <v>211</v>
      </c>
      <c r="B212" s="65535">
        <v>45080</v>
      </c>
      <c r="C212" t="s">
        <v>18</v>
      </c>
      <c r="D212" t="s">
        <v>47</v>
      </c>
      <c r="E212" t="s">
        <v>20</v>
      </c>
      <c r="F212" t="s">
        <v>44</v>
      </c>
      <c r="G212" t="s">
        <v>32</v>
      </c>
      <c r="H212">
        <v>269</v>
      </c>
      <c r="I212">
        <v>4705</v>
      </c>
      <c r="J212">
        <v>1265645</v>
      </c>
      <c r="K212">
        <v>2753</v>
      </c>
      <c r="L212">
        <v>740557</v>
      </c>
      <c r="M212">
        <v>525088</v>
      </c>
    </row>
    <row r="213" spans="1:13">
      <c r="A213">
        <v>212</v>
      </c>
      <c r="B213" s="65535">
        <v>45218</v>
      </c>
      <c r="C213" t="s">
        <v>33</v>
      </c>
      <c r="D213" t="s">
        <v>39</v>
      </c>
      <c r="E213" t="s">
        <v>20</v>
      </c>
      <c r="F213" t="s">
        <v>21</v>
      </c>
      <c r="G213" t="s">
        <v>32</v>
      </c>
      <c r="H213">
        <v>325</v>
      </c>
      <c r="I213">
        <v>438</v>
      </c>
      <c r="J213">
        <v>142350</v>
      </c>
      <c r="K213">
        <v>189</v>
      </c>
      <c r="L213">
        <v>61425</v>
      </c>
      <c r="M213">
        <v>80925</v>
      </c>
    </row>
    <row r="214" spans="1:13">
      <c r="A214">
        <v>213</v>
      </c>
      <c r="B214" s="65535">
        <v>45169</v>
      </c>
      <c r="C214" t="s">
        <v>18</v>
      </c>
      <c r="D214" t="s">
        <v>47</v>
      </c>
      <c r="E214" t="s">
        <v>20</v>
      </c>
      <c r="F214" t="s">
        <v>28</v>
      </c>
      <c r="G214" t="s">
        <v>32</v>
      </c>
      <c r="H214">
        <v>418</v>
      </c>
      <c r="I214">
        <v>491</v>
      </c>
      <c r="J214">
        <v>205238</v>
      </c>
      <c r="K214">
        <v>430</v>
      </c>
      <c r="L214">
        <v>179740</v>
      </c>
      <c r="M214">
        <v>25498</v>
      </c>
    </row>
    <row r="215" spans="1:13">
      <c r="A215">
        <v>214</v>
      </c>
      <c r="B215" s="65535">
        <v>45201</v>
      </c>
      <c r="C215" t="s">
        <v>18</v>
      </c>
      <c r="D215" t="s">
        <v>19</v>
      </c>
      <c r="E215" t="s">
        <v>30</v>
      </c>
      <c r="F215" t="s">
        <v>31</v>
      </c>
      <c r="G215" t="s">
        <v>32</v>
      </c>
      <c r="H215">
        <v>468</v>
      </c>
      <c r="I215">
        <v>2945</v>
      </c>
      <c r="J215">
        <v>1378260</v>
      </c>
      <c r="K215">
        <v>1994</v>
      </c>
      <c r="L215">
        <v>933192</v>
      </c>
      <c r="M215">
        <v>445068</v>
      </c>
    </row>
    <row r="216" spans="1:13">
      <c r="A216">
        <v>215</v>
      </c>
      <c r="B216" s="65535">
        <v>45274</v>
      </c>
      <c r="C216" t="s">
        <v>13</v>
      </c>
      <c r="D216" t="s">
        <v>14</v>
      </c>
      <c r="E216" t="s">
        <v>20</v>
      </c>
      <c r="F216" t="s">
        <v>28</v>
      </c>
      <c r="G216" t="s">
        <v>17</v>
      </c>
      <c r="H216">
        <v>171</v>
      </c>
      <c r="I216">
        <v>4748</v>
      </c>
      <c r="J216">
        <v>811908</v>
      </c>
      <c r="K216">
        <v>4489</v>
      </c>
      <c r="L216">
        <v>767619</v>
      </c>
      <c r="M216">
        <v>44289</v>
      </c>
    </row>
    <row r="217" spans="1:13">
      <c r="A217">
        <v>216</v>
      </c>
      <c r="B217" s="65535">
        <v>45003</v>
      </c>
      <c r="C217" t="s">
        <v>33</v>
      </c>
      <c r="D217" t="s">
        <v>46</v>
      </c>
      <c r="E217" t="s">
        <v>20</v>
      </c>
      <c r="F217" t="s">
        <v>21</v>
      </c>
      <c r="G217" t="s">
        <v>22</v>
      </c>
      <c r="H217">
        <v>153</v>
      </c>
      <c r="I217">
        <v>455</v>
      </c>
      <c r="J217">
        <v>69615</v>
      </c>
      <c r="K217">
        <v>273</v>
      </c>
      <c r="L217">
        <v>41769</v>
      </c>
      <c r="M217">
        <v>27846</v>
      </c>
    </row>
    <row r="218" spans="1:13">
      <c r="A218">
        <v>217</v>
      </c>
      <c r="B218" s="65535">
        <v>44986</v>
      </c>
      <c r="C218" t="s">
        <v>13</v>
      </c>
      <c r="D218" t="s">
        <v>43</v>
      </c>
      <c r="E218" t="s">
        <v>24</v>
      </c>
      <c r="F218" t="s">
        <v>25</v>
      </c>
      <c r="G218" t="s">
        <v>17</v>
      </c>
      <c r="H218">
        <v>452</v>
      </c>
      <c r="I218">
        <v>2725</v>
      </c>
      <c r="J218">
        <v>1231700</v>
      </c>
      <c r="K218">
        <v>1388</v>
      </c>
      <c r="L218">
        <v>627376</v>
      </c>
      <c r="M218">
        <v>604324</v>
      </c>
    </row>
    <row r="219" spans="1:13">
      <c r="A219">
        <v>218</v>
      </c>
      <c r="B219" s="65535">
        <v>45048</v>
      </c>
      <c r="C219" t="s">
        <v>33</v>
      </c>
      <c r="D219" t="s">
        <v>41</v>
      </c>
      <c r="E219" t="s">
        <v>24</v>
      </c>
      <c r="F219" t="s">
        <v>25</v>
      </c>
      <c r="G219" t="s">
        <v>32</v>
      </c>
      <c r="H219">
        <v>200</v>
      </c>
      <c r="I219">
        <v>3902</v>
      </c>
      <c r="J219">
        <v>780400</v>
      </c>
      <c r="K219">
        <v>3497</v>
      </c>
      <c r="L219">
        <v>699400</v>
      </c>
      <c r="M219">
        <v>81000</v>
      </c>
    </row>
    <row r="220" spans="1:13">
      <c r="A220">
        <v>219</v>
      </c>
      <c r="B220" s="65535">
        <v>45118</v>
      </c>
      <c r="C220" t="s">
        <v>26</v>
      </c>
      <c r="D220" t="s">
        <v>36</v>
      </c>
      <c r="E220" t="s">
        <v>20</v>
      </c>
      <c r="F220" t="s">
        <v>44</v>
      </c>
      <c r="G220" t="s">
        <v>22</v>
      </c>
      <c r="H220">
        <v>411</v>
      </c>
      <c r="I220">
        <v>506</v>
      </c>
      <c r="J220">
        <v>207966</v>
      </c>
      <c r="K220">
        <v>203</v>
      </c>
      <c r="L220">
        <v>83433</v>
      </c>
      <c r="M220">
        <v>124533</v>
      </c>
    </row>
    <row r="221" spans="1:13">
      <c r="A221">
        <v>220</v>
      </c>
      <c r="B221" s="65535">
        <v>45005</v>
      </c>
      <c r="C221" t="s">
        <v>33</v>
      </c>
      <c r="D221" t="s">
        <v>34</v>
      </c>
      <c r="E221" t="s">
        <v>15</v>
      </c>
      <c r="F221" t="s">
        <v>29</v>
      </c>
      <c r="G221" t="s">
        <v>17</v>
      </c>
      <c r="H221">
        <v>107</v>
      </c>
      <c r="I221">
        <v>2986</v>
      </c>
      <c r="J221">
        <v>319502</v>
      </c>
      <c r="K221">
        <v>2080</v>
      </c>
      <c r="L221">
        <v>222560</v>
      </c>
      <c r="M221">
        <v>96942</v>
      </c>
    </row>
    <row r="222" spans="1:13">
      <c r="A222">
        <v>221</v>
      </c>
      <c r="B222" s="65535">
        <v>45273</v>
      </c>
      <c r="C222" t="s">
        <v>26</v>
      </c>
      <c r="D222" t="s">
        <v>27</v>
      </c>
      <c r="E222" t="s">
        <v>30</v>
      </c>
      <c r="F222" t="s">
        <v>37</v>
      </c>
      <c r="G222" t="s">
        <v>17</v>
      </c>
      <c r="H222">
        <v>77</v>
      </c>
      <c r="I222">
        <v>1880</v>
      </c>
      <c r="J222">
        <v>144760</v>
      </c>
      <c r="K222">
        <v>1583</v>
      </c>
      <c r="L222">
        <v>121891</v>
      </c>
      <c r="M222">
        <v>22869</v>
      </c>
    </row>
    <row r="223" spans="1:13">
      <c r="A223">
        <v>222</v>
      </c>
      <c r="B223" s="65535">
        <v>44986</v>
      </c>
      <c r="C223" t="s">
        <v>33</v>
      </c>
      <c r="D223" t="s">
        <v>34</v>
      </c>
      <c r="E223" t="s">
        <v>24</v>
      </c>
      <c r="F223" t="s">
        <v>35</v>
      </c>
      <c r="G223" t="s">
        <v>17</v>
      </c>
      <c r="H223">
        <v>12</v>
      </c>
      <c r="I223">
        <v>2747</v>
      </c>
      <c r="J223">
        <v>32964</v>
      </c>
      <c r="K223">
        <v>280</v>
      </c>
      <c r="L223">
        <v>3360</v>
      </c>
      <c r="M223">
        <v>29604</v>
      </c>
    </row>
    <row r="224" spans="1:13">
      <c r="A224">
        <v>223</v>
      </c>
      <c r="B224" s="65535">
        <v>45193</v>
      </c>
      <c r="C224" t="s">
        <v>33</v>
      </c>
      <c r="D224" t="s">
        <v>41</v>
      </c>
      <c r="E224" t="s">
        <v>24</v>
      </c>
      <c r="F224" t="s">
        <v>25</v>
      </c>
      <c r="G224" t="s">
        <v>22</v>
      </c>
      <c r="H224">
        <v>402</v>
      </c>
      <c r="I224">
        <v>2759</v>
      </c>
      <c r="J224">
        <v>1109118</v>
      </c>
      <c r="K224">
        <v>192</v>
      </c>
      <c r="L224">
        <v>77184</v>
      </c>
      <c r="M224">
        <v>1031934</v>
      </c>
    </row>
    <row r="225" spans="1:13">
      <c r="A225">
        <v>224</v>
      </c>
      <c r="B225" s="65535">
        <v>45073</v>
      </c>
      <c r="C225" t="s">
        <v>26</v>
      </c>
      <c r="D225" t="s">
        <v>36</v>
      </c>
      <c r="E225" t="s">
        <v>20</v>
      </c>
      <c r="F225" t="s">
        <v>44</v>
      </c>
      <c r="G225" t="s">
        <v>22</v>
      </c>
      <c r="H225">
        <v>151</v>
      </c>
      <c r="I225">
        <v>4560</v>
      </c>
      <c r="J225">
        <v>688560</v>
      </c>
      <c r="K225">
        <v>2714</v>
      </c>
      <c r="L225">
        <v>409814</v>
      </c>
      <c r="M225">
        <v>278746</v>
      </c>
    </row>
    <row r="226" spans="1:13">
      <c r="A226">
        <v>225</v>
      </c>
      <c r="B226" s="65535">
        <v>45067</v>
      </c>
      <c r="C226" t="s">
        <v>13</v>
      </c>
      <c r="D226" t="s">
        <v>14</v>
      </c>
      <c r="E226" t="s">
        <v>20</v>
      </c>
      <c r="F226" t="s">
        <v>44</v>
      </c>
      <c r="G226" t="s">
        <v>22</v>
      </c>
      <c r="H226">
        <v>68</v>
      </c>
      <c r="I226">
        <v>324</v>
      </c>
      <c r="J226">
        <v>22032</v>
      </c>
      <c r="K226">
        <v>259</v>
      </c>
      <c r="L226">
        <v>17612</v>
      </c>
      <c r="M226">
        <v>4420</v>
      </c>
    </row>
    <row r="227" spans="1:13">
      <c r="A227">
        <v>226</v>
      </c>
      <c r="B227" s="65535">
        <v>45065</v>
      </c>
      <c r="C227" t="s">
        <v>33</v>
      </c>
      <c r="D227" t="s">
        <v>46</v>
      </c>
      <c r="E227" t="s">
        <v>20</v>
      </c>
      <c r="F227" t="s">
        <v>28</v>
      </c>
      <c r="G227" t="s">
        <v>32</v>
      </c>
      <c r="H227">
        <v>82</v>
      </c>
      <c r="I227">
        <v>2520</v>
      </c>
      <c r="J227">
        <v>206640</v>
      </c>
      <c r="K227">
        <v>2451</v>
      </c>
      <c r="L227">
        <v>200982</v>
      </c>
      <c r="M227">
        <v>5658</v>
      </c>
    </row>
    <row r="228" spans="1:13">
      <c r="A228">
        <v>227</v>
      </c>
      <c r="B228" s="65535">
        <v>45100</v>
      </c>
      <c r="C228" t="s">
        <v>18</v>
      </c>
      <c r="D228" t="s">
        <v>38</v>
      </c>
      <c r="E228" t="s">
        <v>15</v>
      </c>
      <c r="F228" t="s">
        <v>29</v>
      </c>
      <c r="G228" t="s">
        <v>17</v>
      </c>
      <c r="H228">
        <v>286</v>
      </c>
      <c r="I228">
        <v>3834</v>
      </c>
      <c r="J228">
        <v>1096524</v>
      </c>
      <c r="K228">
        <v>307</v>
      </c>
      <c r="L228">
        <v>87802</v>
      </c>
      <c r="M228">
        <v>1008722</v>
      </c>
    </row>
    <row r="229" spans="1:13">
      <c r="A229">
        <v>228</v>
      </c>
      <c r="B229" s="65535">
        <v>44981</v>
      </c>
      <c r="C229" t="s">
        <v>18</v>
      </c>
      <c r="D229" t="s">
        <v>50</v>
      </c>
      <c r="E229" t="s">
        <v>24</v>
      </c>
      <c r="F229" t="s">
        <v>35</v>
      </c>
      <c r="G229" t="s">
        <v>22</v>
      </c>
      <c r="H229">
        <v>206</v>
      </c>
      <c r="I229">
        <v>640</v>
      </c>
      <c r="J229">
        <v>131840</v>
      </c>
      <c r="K229">
        <v>144</v>
      </c>
      <c r="L229">
        <v>29664</v>
      </c>
      <c r="M229">
        <v>102176</v>
      </c>
    </row>
    <row r="230" spans="1:13">
      <c r="A230">
        <v>229</v>
      </c>
      <c r="B230" s="65535">
        <v>45230</v>
      </c>
      <c r="C230" t="s">
        <v>13</v>
      </c>
      <c r="D230" t="s">
        <v>42</v>
      </c>
      <c r="E230" t="s">
        <v>30</v>
      </c>
      <c r="F230" t="s">
        <v>31</v>
      </c>
      <c r="G230" t="s">
        <v>17</v>
      </c>
      <c r="H230">
        <v>332</v>
      </c>
      <c r="I230">
        <v>3852</v>
      </c>
      <c r="J230">
        <v>1278864</v>
      </c>
      <c r="K230">
        <v>2624</v>
      </c>
      <c r="L230">
        <v>871168</v>
      </c>
      <c r="M230">
        <v>407696</v>
      </c>
    </row>
    <row r="231" spans="1:13">
      <c r="A231">
        <v>230</v>
      </c>
      <c r="B231" s="65535">
        <v>45270</v>
      </c>
      <c r="C231" t="s">
        <v>26</v>
      </c>
      <c r="D231" t="s">
        <v>27</v>
      </c>
      <c r="E231" t="s">
        <v>20</v>
      </c>
      <c r="F231" t="s">
        <v>44</v>
      </c>
      <c r="G231" t="s">
        <v>17</v>
      </c>
      <c r="H231">
        <v>424</v>
      </c>
      <c r="I231">
        <v>4570</v>
      </c>
      <c r="J231">
        <v>1937680</v>
      </c>
      <c r="K231">
        <v>743</v>
      </c>
      <c r="L231">
        <v>315032</v>
      </c>
      <c r="M231">
        <v>1622648</v>
      </c>
    </row>
    <row r="232" spans="1:13">
      <c r="A232">
        <v>231</v>
      </c>
      <c r="B232" s="65535">
        <v>44976</v>
      </c>
      <c r="C232" t="s">
        <v>13</v>
      </c>
      <c r="D232" t="s">
        <v>43</v>
      </c>
      <c r="E232" t="s">
        <v>15</v>
      </c>
      <c r="F232" t="s">
        <v>49</v>
      </c>
      <c r="G232" t="s">
        <v>32</v>
      </c>
      <c r="H232">
        <v>243</v>
      </c>
      <c r="I232">
        <v>2742</v>
      </c>
      <c r="J232">
        <v>666306</v>
      </c>
      <c r="K232">
        <v>2006</v>
      </c>
      <c r="L232">
        <v>487458</v>
      </c>
      <c r="M232">
        <v>178848</v>
      </c>
    </row>
    <row r="233" spans="1:13">
      <c r="A233">
        <v>232</v>
      </c>
      <c r="B233" s="65535">
        <v>45059</v>
      </c>
      <c r="C233" t="s">
        <v>13</v>
      </c>
      <c r="D233" t="s">
        <v>43</v>
      </c>
      <c r="E233" t="s">
        <v>30</v>
      </c>
      <c r="F233" t="s">
        <v>37</v>
      </c>
      <c r="G233" t="s">
        <v>17</v>
      </c>
      <c r="H233">
        <v>477</v>
      </c>
      <c r="I233">
        <v>3177</v>
      </c>
      <c r="J233">
        <v>1515429</v>
      </c>
      <c r="K233">
        <v>1705</v>
      </c>
      <c r="L233">
        <v>813285</v>
      </c>
      <c r="M233">
        <v>702144</v>
      </c>
    </row>
    <row r="234" spans="1:13">
      <c r="A234">
        <v>233</v>
      </c>
      <c r="B234" s="65535">
        <v>44942</v>
      </c>
      <c r="C234" t="s">
        <v>18</v>
      </c>
      <c r="D234" t="s">
        <v>47</v>
      </c>
      <c r="E234" t="s">
        <v>20</v>
      </c>
      <c r="F234" t="s">
        <v>21</v>
      </c>
      <c r="G234" t="s">
        <v>32</v>
      </c>
      <c r="H234">
        <v>43</v>
      </c>
      <c r="I234">
        <v>4093</v>
      </c>
      <c r="J234">
        <v>175999</v>
      </c>
      <c r="K234">
        <v>562</v>
      </c>
      <c r="L234">
        <v>24166</v>
      </c>
      <c r="M234">
        <v>151833</v>
      </c>
    </row>
    <row r="235" spans="1:13">
      <c r="A235">
        <v>234</v>
      </c>
      <c r="B235" s="65535">
        <v>45105</v>
      </c>
      <c r="C235" t="s">
        <v>26</v>
      </c>
      <c r="D235" t="s">
        <v>45</v>
      </c>
      <c r="E235" t="s">
        <v>24</v>
      </c>
      <c r="F235" t="s">
        <v>25</v>
      </c>
      <c r="G235" t="s">
        <v>32</v>
      </c>
      <c r="H235">
        <v>319</v>
      </c>
      <c r="I235">
        <v>4907</v>
      </c>
      <c r="J235">
        <v>1565333</v>
      </c>
      <c r="K235">
        <v>1143</v>
      </c>
      <c r="L235">
        <v>364617</v>
      </c>
      <c r="M235">
        <v>1200716</v>
      </c>
    </row>
    <row r="236" spans="1:13">
      <c r="A236">
        <v>235</v>
      </c>
      <c r="B236" s="65535">
        <v>45259</v>
      </c>
      <c r="C236" t="s">
        <v>33</v>
      </c>
      <c r="D236" t="s">
        <v>34</v>
      </c>
      <c r="E236" t="s">
        <v>15</v>
      </c>
      <c r="F236" t="s">
        <v>29</v>
      </c>
      <c r="G236" t="s">
        <v>17</v>
      </c>
      <c r="H236">
        <v>46</v>
      </c>
      <c r="I236">
        <v>2674</v>
      </c>
      <c r="J236">
        <v>123004</v>
      </c>
      <c r="K236">
        <v>2282</v>
      </c>
      <c r="L236">
        <v>104972</v>
      </c>
      <c r="M236">
        <v>18032</v>
      </c>
    </row>
    <row r="237" spans="1:13">
      <c r="A237">
        <v>236</v>
      </c>
      <c r="B237" s="65535">
        <v>45051</v>
      </c>
      <c r="C237" t="s">
        <v>13</v>
      </c>
      <c r="D237" t="s">
        <v>42</v>
      </c>
      <c r="E237" t="s">
        <v>24</v>
      </c>
      <c r="F237" t="s">
        <v>25</v>
      </c>
      <c r="G237" t="s">
        <v>17</v>
      </c>
      <c r="H237">
        <v>290</v>
      </c>
      <c r="I237">
        <v>1502</v>
      </c>
      <c r="J237">
        <v>435580</v>
      </c>
      <c r="K237">
        <v>1087</v>
      </c>
      <c r="L237">
        <v>315230</v>
      </c>
      <c r="M237">
        <v>120350</v>
      </c>
    </row>
    <row r="238" spans="1:13">
      <c r="A238">
        <v>237</v>
      </c>
      <c r="B238" s="65535">
        <v>45229</v>
      </c>
      <c r="C238" t="s">
        <v>13</v>
      </c>
      <c r="D238" t="s">
        <v>14</v>
      </c>
      <c r="E238" t="s">
        <v>20</v>
      </c>
      <c r="F238" t="s">
        <v>44</v>
      </c>
      <c r="G238" t="s">
        <v>17</v>
      </c>
      <c r="H238">
        <v>230</v>
      </c>
      <c r="I238">
        <v>3766</v>
      </c>
      <c r="J238">
        <v>866180</v>
      </c>
      <c r="K238">
        <v>2423</v>
      </c>
      <c r="L238">
        <v>557290</v>
      </c>
      <c r="M238">
        <v>308890</v>
      </c>
    </row>
    <row r="239" spans="1:13">
      <c r="A239">
        <v>238</v>
      </c>
      <c r="B239" s="65535">
        <v>44966</v>
      </c>
      <c r="C239" t="s">
        <v>26</v>
      </c>
      <c r="D239" t="s">
        <v>36</v>
      </c>
      <c r="E239" t="s">
        <v>30</v>
      </c>
      <c r="F239" t="s">
        <v>31</v>
      </c>
      <c r="G239" t="s">
        <v>17</v>
      </c>
      <c r="H239">
        <v>388</v>
      </c>
      <c r="I239">
        <v>4903</v>
      </c>
      <c r="J239">
        <v>1902364</v>
      </c>
      <c r="K239">
        <v>4086</v>
      </c>
      <c r="L239">
        <v>1585368</v>
      </c>
      <c r="M239">
        <v>316996</v>
      </c>
    </row>
    <row r="240" spans="1:13">
      <c r="A240">
        <v>239</v>
      </c>
      <c r="B240" s="65535">
        <v>45154</v>
      </c>
      <c r="C240" t="s">
        <v>33</v>
      </c>
      <c r="D240" t="s">
        <v>34</v>
      </c>
      <c r="E240" t="s">
        <v>20</v>
      </c>
      <c r="F240" t="s">
        <v>28</v>
      </c>
      <c r="G240" t="s">
        <v>22</v>
      </c>
      <c r="H240">
        <v>100</v>
      </c>
      <c r="I240">
        <v>2723</v>
      </c>
      <c r="J240">
        <v>272300</v>
      </c>
      <c r="K240">
        <v>1762</v>
      </c>
      <c r="L240">
        <v>176200</v>
      </c>
      <c r="M240">
        <v>96100</v>
      </c>
    </row>
    <row r="241" spans="1:13">
      <c r="A241">
        <v>240</v>
      </c>
      <c r="B241" s="65535">
        <v>45257</v>
      </c>
      <c r="C241" t="s">
        <v>33</v>
      </c>
      <c r="D241" t="s">
        <v>39</v>
      </c>
      <c r="E241" t="s">
        <v>24</v>
      </c>
      <c r="F241" t="s">
        <v>48</v>
      </c>
      <c r="G241" t="s">
        <v>32</v>
      </c>
      <c r="H241">
        <v>348</v>
      </c>
      <c r="I241">
        <v>703</v>
      </c>
      <c r="J241">
        <v>244644</v>
      </c>
      <c r="K241">
        <v>192</v>
      </c>
      <c r="L241">
        <v>66816</v>
      </c>
      <c r="M241">
        <v>177828</v>
      </c>
    </row>
    <row r="242" spans="1:13">
      <c r="A242">
        <v>241</v>
      </c>
      <c r="B242" s="65535">
        <v>45003</v>
      </c>
      <c r="C242" t="s">
        <v>18</v>
      </c>
      <c r="D242" t="s">
        <v>38</v>
      </c>
      <c r="E242" t="s">
        <v>15</v>
      </c>
      <c r="F242" t="s">
        <v>16</v>
      </c>
      <c r="G242" t="s">
        <v>17</v>
      </c>
      <c r="H242">
        <v>241</v>
      </c>
      <c r="I242">
        <v>4552</v>
      </c>
      <c r="J242">
        <v>1097032</v>
      </c>
      <c r="K242">
        <v>2487</v>
      </c>
      <c r="L242">
        <v>599367</v>
      </c>
      <c r="M242">
        <v>497665</v>
      </c>
    </row>
    <row r="243" spans="1:13">
      <c r="A243">
        <v>242</v>
      </c>
      <c r="B243" s="65535">
        <v>45089</v>
      </c>
      <c r="C243" t="s">
        <v>13</v>
      </c>
      <c r="D243" t="s">
        <v>42</v>
      </c>
      <c r="E243" t="s">
        <v>30</v>
      </c>
      <c r="F243" t="s">
        <v>37</v>
      </c>
      <c r="G243" t="s">
        <v>17</v>
      </c>
      <c r="H243">
        <v>163</v>
      </c>
      <c r="I243">
        <v>4871</v>
      </c>
      <c r="J243">
        <v>793973</v>
      </c>
      <c r="K243">
        <v>2594</v>
      </c>
      <c r="L243">
        <v>422822</v>
      </c>
      <c r="M243">
        <v>371151</v>
      </c>
    </row>
    <row r="244" spans="1:13">
      <c r="A244">
        <v>243</v>
      </c>
      <c r="B244" s="65535">
        <v>45240</v>
      </c>
      <c r="C244" t="s">
        <v>13</v>
      </c>
      <c r="D244" t="s">
        <v>23</v>
      </c>
      <c r="E244" t="s">
        <v>15</v>
      </c>
      <c r="F244" t="s">
        <v>49</v>
      </c>
      <c r="G244" t="s">
        <v>22</v>
      </c>
      <c r="H244">
        <v>271</v>
      </c>
      <c r="I244">
        <v>3511</v>
      </c>
      <c r="J244">
        <v>951481</v>
      </c>
      <c r="K244">
        <v>622</v>
      </c>
      <c r="L244">
        <v>168562</v>
      </c>
      <c r="M244">
        <v>782919</v>
      </c>
    </row>
    <row r="245" spans="1:13">
      <c r="A245">
        <v>244</v>
      </c>
      <c r="B245" s="65535">
        <v>44927</v>
      </c>
      <c r="C245" t="s">
        <v>26</v>
      </c>
      <c r="D245" t="s">
        <v>51</v>
      </c>
      <c r="E245" t="s">
        <v>20</v>
      </c>
      <c r="F245" t="s">
        <v>28</v>
      </c>
      <c r="G245" t="s">
        <v>22</v>
      </c>
      <c r="H245">
        <v>370</v>
      </c>
      <c r="I245">
        <v>4787</v>
      </c>
      <c r="J245">
        <v>1771190</v>
      </c>
      <c r="K245">
        <v>3042</v>
      </c>
      <c r="L245">
        <v>1125540</v>
      </c>
      <c r="M245">
        <v>645650</v>
      </c>
    </row>
    <row r="246" spans="1:13">
      <c r="A246">
        <v>245</v>
      </c>
      <c r="B246" s="65535">
        <v>45286</v>
      </c>
      <c r="C246" t="s">
        <v>33</v>
      </c>
      <c r="D246" t="s">
        <v>41</v>
      </c>
      <c r="E246" t="s">
        <v>15</v>
      </c>
      <c r="F246" t="s">
        <v>16</v>
      </c>
      <c r="G246" t="s">
        <v>32</v>
      </c>
      <c r="H246">
        <v>312</v>
      </c>
      <c r="I246">
        <v>3429</v>
      </c>
      <c r="J246">
        <v>1069848</v>
      </c>
      <c r="K246">
        <v>2660</v>
      </c>
      <c r="L246">
        <v>829920</v>
      </c>
      <c r="M246">
        <v>239928</v>
      </c>
    </row>
    <row r="247" spans="1:13">
      <c r="A247">
        <v>246</v>
      </c>
      <c r="B247" s="65535">
        <v>45206</v>
      </c>
      <c r="C247" t="s">
        <v>26</v>
      </c>
      <c r="D247" t="s">
        <v>45</v>
      </c>
      <c r="E247" t="s">
        <v>24</v>
      </c>
      <c r="F247" t="s">
        <v>48</v>
      </c>
      <c r="G247" t="s">
        <v>32</v>
      </c>
      <c r="H247">
        <v>118</v>
      </c>
      <c r="I247">
        <v>1620</v>
      </c>
      <c r="J247">
        <v>191160</v>
      </c>
      <c r="K247">
        <v>1072</v>
      </c>
      <c r="L247">
        <v>126496</v>
      </c>
      <c r="M247">
        <v>64664</v>
      </c>
    </row>
    <row r="248" spans="1:13">
      <c r="A248">
        <v>247</v>
      </c>
      <c r="B248" s="65535">
        <v>45005</v>
      </c>
      <c r="C248" t="s">
        <v>18</v>
      </c>
      <c r="D248" t="s">
        <v>38</v>
      </c>
      <c r="E248" t="s">
        <v>24</v>
      </c>
      <c r="F248" t="s">
        <v>48</v>
      </c>
      <c r="G248" t="s">
        <v>32</v>
      </c>
      <c r="H248">
        <v>157</v>
      </c>
      <c r="I248">
        <v>1228</v>
      </c>
      <c r="J248">
        <v>192796</v>
      </c>
      <c r="K248">
        <v>375</v>
      </c>
      <c r="L248">
        <v>58875</v>
      </c>
      <c r="M248">
        <v>133921</v>
      </c>
    </row>
    <row r="249" spans="1:13">
      <c r="A249">
        <v>248</v>
      </c>
      <c r="B249" s="65535">
        <v>45176</v>
      </c>
      <c r="C249" t="s">
        <v>33</v>
      </c>
      <c r="D249" t="s">
        <v>39</v>
      </c>
      <c r="E249" t="s">
        <v>15</v>
      </c>
      <c r="F249" t="s">
        <v>16</v>
      </c>
      <c r="G249" t="s">
        <v>17</v>
      </c>
      <c r="H249">
        <v>346</v>
      </c>
      <c r="I249">
        <v>3777</v>
      </c>
      <c r="J249">
        <v>1306842</v>
      </c>
      <c r="K249">
        <v>656</v>
      </c>
      <c r="L249">
        <v>226976</v>
      </c>
      <c r="M249">
        <v>1079866</v>
      </c>
    </row>
    <row r="250" spans="1:13">
      <c r="A250">
        <v>249</v>
      </c>
      <c r="B250" s="65535">
        <v>45236</v>
      </c>
      <c r="C250" t="s">
        <v>33</v>
      </c>
      <c r="D250" t="s">
        <v>46</v>
      </c>
      <c r="E250" t="s">
        <v>24</v>
      </c>
      <c r="F250" t="s">
        <v>48</v>
      </c>
      <c r="G250" t="s">
        <v>17</v>
      </c>
      <c r="H250">
        <v>486</v>
      </c>
      <c r="I250">
        <v>3687</v>
      </c>
      <c r="J250">
        <v>1791882</v>
      </c>
      <c r="K250">
        <v>2652</v>
      </c>
      <c r="L250">
        <v>1288872</v>
      </c>
      <c r="M250">
        <v>503010</v>
      </c>
    </row>
    <row r="251" spans="1:13">
      <c r="A251">
        <v>250</v>
      </c>
      <c r="B251" s="65535">
        <v>45123</v>
      </c>
      <c r="C251" t="s">
        <v>18</v>
      </c>
      <c r="D251" t="s">
        <v>19</v>
      </c>
      <c r="E251" t="s">
        <v>24</v>
      </c>
      <c r="F251" t="s">
        <v>35</v>
      </c>
      <c r="G251" t="s">
        <v>32</v>
      </c>
      <c r="H251">
        <v>191</v>
      </c>
      <c r="I251">
        <v>2049</v>
      </c>
      <c r="J251">
        <v>391359</v>
      </c>
      <c r="K251">
        <v>480</v>
      </c>
      <c r="L251">
        <v>91680</v>
      </c>
      <c r="M251">
        <v>299679</v>
      </c>
    </row>
    <row r="252" spans="1:13">
      <c r="A252">
        <v>251</v>
      </c>
      <c r="B252" s="65535">
        <v>45291</v>
      </c>
      <c r="C252" t="s">
        <v>13</v>
      </c>
      <c r="D252" t="s">
        <v>14</v>
      </c>
      <c r="E252" t="s">
        <v>24</v>
      </c>
      <c r="F252" t="s">
        <v>35</v>
      </c>
      <c r="G252" t="s">
        <v>22</v>
      </c>
      <c r="H252">
        <v>266</v>
      </c>
      <c r="I252">
        <v>2405</v>
      </c>
      <c r="J252">
        <v>639730</v>
      </c>
      <c r="K252">
        <v>1782</v>
      </c>
      <c r="L252">
        <v>474012</v>
      </c>
      <c r="M252">
        <v>165718</v>
      </c>
    </row>
    <row r="253" spans="1:13">
      <c r="A253">
        <v>252</v>
      </c>
      <c r="B253" s="65535">
        <v>45287</v>
      </c>
      <c r="C253" t="s">
        <v>26</v>
      </c>
      <c r="D253" t="s">
        <v>51</v>
      </c>
      <c r="E253" t="s">
        <v>15</v>
      </c>
      <c r="F253" t="s">
        <v>49</v>
      </c>
      <c r="G253" t="s">
        <v>32</v>
      </c>
      <c r="H253">
        <v>198</v>
      </c>
      <c r="I253">
        <v>1127</v>
      </c>
      <c r="J253">
        <v>223146</v>
      </c>
      <c r="K253">
        <v>694</v>
      </c>
      <c r="L253">
        <v>137412</v>
      </c>
      <c r="M253">
        <v>85734</v>
      </c>
    </row>
    <row r="254" spans="1:13">
      <c r="A254">
        <v>253</v>
      </c>
      <c r="B254" s="65535">
        <v>45196</v>
      </c>
      <c r="C254" t="s">
        <v>13</v>
      </c>
      <c r="D254" t="s">
        <v>14</v>
      </c>
      <c r="E254" t="s">
        <v>30</v>
      </c>
      <c r="F254" t="s">
        <v>31</v>
      </c>
      <c r="G254" t="s">
        <v>17</v>
      </c>
      <c r="H254">
        <v>449</v>
      </c>
      <c r="I254">
        <v>2489</v>
      </c>
      <c r="J254">
        <v>1117561</v>
      </c>
      <c r="K254">
        <v>2004</v>
      </c>
      <c r="L254">
        <v>899796</v>
      </c>
      <c r="M254">
        <v>217765</v>
      </c>
    </row>
    <row r="255" spans="1:13">
      <c r="A255">
        <v>254</v>
      </c>
      <c r="B255" s="65535">
        <v>45266</v>
      </c>
      <c r="C255" t="s">
        <v>33</v>
      </c>
      <c r="D255" t="s">
        <v>39</v>
      </c>
      <c r="E255" t="s">
        <v>30</v>
      </c>
      <c r="F255" t="s">
        <v>40</v>
      </c>
      <c r="G255" t="s">
        <v>17</v>
      </c>
      <c r="H255">
        <v>352</v>
      </c>
      <c r="I255">
        <v>839</v>
      </c>
      <c r="J255">
        <v>295328</v>
      </c>
      <c r="K255">
        <v>748</v>
      </c>
      <c r="L255">
        <v>263296</v>
      </c>
      <c r="M255">
        <v>32032</v>
      </c>
    </row>
    <row r="256" spans="1:13">
      <c r="A256">
        <v>255</v>
      </c>
      <c r="B256" s="65535">
        <v>45167</v>
      </c>
      <c r="C256" t="s">
        <v>26</v>
      </c>
      <c r="D256" t="s">
        <v>51</v>
      </c>
      <c r="E256" t="s">
        <v>20</v>
      </c>
      <c r="F256" t="s">
        <v>28</v>
      </c>
      <c r="G256" t="s">
        <v>22</v>
      </c>
      <c r="H256">
        <v>242</v>
      </c>
      <c r="I256">
        <v>4399</v>
      </c>
      <c r="J256">
        <v>1064558</v>
      </c>
      <c r="K256">
        <v>3943</v>
      </c>
      <c r="L256">
        <v>954206</v>
      </c>
      <c r="M256">
        <v>110352</v>
      </c>
    </row>
    <row r="257" spans="1:13">
      <c r="A257">
        <v>256</v>
      </c>
      <c r="B257" s="65535">
        <v>45012</v>
      </c>
      <c r="C257" t="s">
        <v>26</v>
      </c>
      <c r="D257" t="s">
        <v>45</v>
      </c>
      <c r="E257" t="s">
        <v>20</v>
      </c>
      <c r="F257" t="s">
        <v>21</v>
      </c>
      <c r="G257" t="s">
        <v>32</v>
      </c>
      <c r="H257">
        <v>28</v>
      </c>
      <c r="I257">
        <v>2690</v>
      </c>
      <c r="J257">
        <v>75320</v>
      </c>
      <c r="K257">
        <v>2408</v>
      </c>
      <c r="L257">
        <v>67424</v>
      </c>
      <c r="M257">
        <v>7896</v>
      </c>
    </row>
    <row r="258" spans="1:13">
      <c r="A258">
        <v>257</v>
      </c>
      <c r="B258" s="65535">
        <v>45220</v>
      </c>
      <c r="C258" t="s">
        <v>26</v>
      </c>
      <c r="D258" t="s">
        <v>51</v>
      </c>
      <c r="E258" t="s">
        <v>24</v>
      </c>
      <c r="F258" t="s">
        <v>35</v>
      </c>
      <c r="G258" t="s">
        <v>22</v>
      </c>
      <c r="H258">
        <v>36</v>
      </c>
      <c r="I258">
        <v>2590</v>
      </c>
      <c r="J258">
        <v>93240</v>
      </c>
      <c r="K258">
        <v>211</v>
      </c>
      <c r="L258">
        <v>7596</v>
      </c>
      <c r="M258">
        <v>85644</v>
      </c>
    </row>
    <row r="259" spans="1:13">
      <c r="A259">
        <v>258</v>
      </c>
      <c r="B259" s="65535">
        <v>44966</v>
      </c>
      <c r="C259" t="s">
        <v>26</v>
      </c>
      <c r="D259" t="s">
        <v>45</v>
      </c>
      <c r="E259" t="s">
        <v>15</v>
      </c>
      <c r="F259" t="s">
        <v>16</v>
      </c>
      <c r="G259" t="s">
        <v>17</v>
      </c>
      <c r="H259">
        <v>445</v>
      </c>
      <c r="I259">
        <v>2476</v>
      </c>
      <c r="J259">
        <v>1101820</v>
      </c>
      <c r="K259">
        <v>1132</v>
      </c>
      <c r="L259">
        <v>503740</v>
      </c>
      <c r="M259">
        <v>598080</v>
      </c>
    </row>
    <row r="260" spans="1:13">
      <c r="A260">
        <v>259</v>
      </c>
      <c r="B260" s="65535">
        <v>44984</v>
      </c>
      <c r="C260" t="s">
        <v>18</v>
      </c>
      <c r="D260" t="s">
        <v>47</v>
      </c>
      <c r="E260" t="s">
        <v>20</v>
      </c>
      <c r="F260" t="s">
        <v>21</v>
      </c>
      <c r="G260" t="s">
        <v>22</v>
      </c>
      <c r="H260">
        <v>319</v>
      </c>
      <c r="I260">
        <v>1630</v>
      </c>
      <c r="J260">
        <v>519970</v>
      </c>
      <c r="K260">
        <v>1311</v>
      </c>
      <c r="L260">
        <v>418209</v>
      </c>
      <c r="M260">
        <v>101761</v>
      </c>
    </row>
    <row r="261" spans="1:13">
      <c r="A261">
        <v>260</v>
      </c>
      <c r="B261" s="65535">
        <v>45285</v>
      </c>
      <c r="C261" t="s">
        <v>18</v>
      </c>
      <c r="D261" t="s">
        <v>19</v>
      </c>
      <c r="E261" t="s">
        <v>20</v>
      </c>
      <c r="F261" t="s">
        <v>44</v>
      </c>
      <c r="G261" t="s">
        <v>32</v>
      </c>
      <c r="H261">
        <v>130</v>
      </c>
      <c r="I261">
        <v>4172</v>
      </c>
      <c r="J261">
        <v>542360</v>
      </c>
      <c r="K261">
        <v>840</v>
      </c>
      <c r="L261">
        <v>109200</v>
      </c>
      <c r="M261">
        <v>433160</v>
      </c>
    </row>
    <row r="262" spans="1:13">
      <c r="A262">
        <v>261</v>
      </c>
      <c r="B262" s="65535">
        <v>45005</v>
      </c>
      <c r="C262" t="s">
        <v>33</v>
      </c>
      <c r="D262" t="s">
        <v>41</v>
      </c>
      <c r="E262" t="s">
        <v>15</v>
      </c>
      <c r="F262" t="s">
        <v>16</v>
      </c>
      <c r="G262" t="s">
        <v>17</v>
      </c>
      <c r="H262">
        <v>438</v>
      </c>
      <c r="I262">
        <v>4262</v>
      </c>
      <c r="J262">
        <v>1866756</v>
      </c>
      <c r="K262">
        <v>3482</v>
      </c>
      <c r="L262">
        <v>1525116</v>
      </c>
      <c r="M262">
        <v>341640</v>
      </c>
    </row>
    <row r="263" spans="1:13">
      <c r="A263">
        <v>262</v>
      </c>
      <c r="B263" s="65535">
        <v>45012</v>
      </c>
      <c r="C263" t="s">
        <v>13</v>
      </c>
      <c r="D263" t="s">
        <v>43</v>
      </c>
      <c r="E263" t="s">
        <v>24</v>
      </c>
      <c r="F263" t="s">
        <v>35</v>
      </c>
      <c r="G263" t="s">
        <v>17</v>
      </c>
      <c r="H263">
        <v>117</v>
      </c>
      <c r="I263">
        <v>4932</v>
      </c>
      <c r="J263">
        <v>577044</v>
      </c>
      <c r="K263">
        <v>2926</v>
      </c>
      <c r="L263">
        <v>342342</v>
      </c>
      <c r="M263">
        <v>234702</v>
      </c>
    </row>
    <row r="264" spans="1:13">
      <c r="A264">
        <v>263</v>
      </c>
      <c r="B264" s="65535">
        <v>45164</v>
      </c>
      <c r="C264" t="s">
        <v>33</v>
      </c>
      <c r="D264" t="s">
        <v>41</v>
      </c>
      <c r="E264" t="s">
        <v>15</v>
      </c>
      <c r="F264" t="s">
        <v>16</v>
      </c>
      <c r="G264" t="s">
        <v>22</v>
      </c>
      <c r="H264">
        <v>214</v>
      </c>
      <c r="I264">
        <v>4101</v>
      </c>
      <c r="J264">
        <v>877614</v>
      </c>
      <c r="K264">
        <v>1334</v>
      </c>
      <c r="L264">
        <v>285476</v>
      </c>
      <c r="M264">
        <v>592138</v>
      </c>
    </row>
    <row r="265" spans="1:13">
      <c r="A265">
        <v>264</v>
      </c>
      <c r="B265" s="65535">
        <v>45126</v>
      </c>
      <c r="C265" t="s">
        <v>13</v>
      </c>
      <c r="D265" t="s">
        <v>43</v>
      </c>
      <c r="E265" t="s">
        <v>24</v>
      </c>
      <c r="F265" t="s">
        <v>35</v>
      </c>
      <c r="G265" t="s">
        <v>17</v>
      </c>
      <c r="H265">
        <v>252</v>
      </c>
      <c r="I265">
        <v>2351</v>
      </c>
      <c r="J265">
        <v>592452</v>
      </c>
      <c r="K265">
        <v>694</v>
      </c>
      <c r="L265">
        <v>174888</v>
      </c>
      <c r="M265">
        <v>417564</v>
      </c>
    </row>
    <row r="266" spans="1:13">
      <c r="A266">
        <v>265</v>
      </c>
      <c r="B266" s="65535">
        <v>45274</v>
      </c>
      <c r="C266" t="s">
        <v>13</v>
      </c>
      <c r="D266" t="s">
        <v>14</v>
      </c>
      <c r="E266" t="s">
        <v>20</v>
      </c>
      <c r="F266" t="s">
        <v>21</v>
      </c>
      <c r="G266" t="s">
        <v>32</v>
      </c>
      <c r="H266">
        <v>171</v>
      </c>
      <c r="I266">
        <v>4543</v>
      </c>
      <c r="J266">
        <v>776853</v>
      </c>
      <c r="K266">
        <v>436</v>
      </c>
      <c r="L266">
        <v>74556</v>
      </c>
      <c r="M266">
        <v>702297</v>
      </c>
    </row>
    <row r="267" spans="1:13">
      <c r="A267">
        <v>266</v>
      </c>
      <c r="B267" s="65535">
        <v>45066</v>
      </c>
      <c r="C267" t="s">
        <v>33</v>
      </c>
      <c r="D267" t="s">
        <v>41</v>
      </c>
      <c r="E267" t="s">
        <v>24</v>
      </c>
      <c r="F267" t="s">
        <v>35</v>
      </c>
      <c r="G267" t="s">
        <v>17</v>
      </c>
      <c r="H267">
        <v>181</v>
      </c>
      <c r="I267">
        <v>2414</v>
      </c>
      <c r="J267">
        <v>436934</v>
      </c>
      <c r="K267">
        <v>1193</v>
      </c>
      <c r="L267">
        <v>215933</v>
      </c>
      <c r="M267">
        <v>221001</v>
      </c>
    </row>
    <row r="268" spans="1:13">
      <c r="A268">
        <v>267</v>
      </c>
      <c r="B268" s="65535">
        <v>45050</v>
      </c>
      <c r="C268" t="s">
        <v>33</v>
      </c>
      <c r="D268" t="s">
        <v>41</v>
      </c>
      <c r="E268" t="s">
        <v>24</v>
      </c>
      <c r="F268" t="s">
        <v>48</v>
      </c>
      <c r="G268" t="s">
        <v>17</v>
      </c>
      <c r="H268">
        <v>385</v>
      </c>
      <c r="I268">
        <v>1796</v>
      </c>
      <c r="J268">
        <v>691460</v>
      </c>
      <c r="K268">
        <v>1164</v>
      </c>
      <c r="L268">
        <v>448140</v>
      </c>
      <c r="M268">
        <v>243320</v>
      </c>
    </row>
    <row r="269" spans="1:13">
      <c r="A269">
        <v>268</v>
      </c>
      <c r="B269" s="65535">
        <v>45271</v>
      </c>
      <c r="C269" t="s">
        <v>26</v>
      </c>
      <c r="D269" t="s">
        <v>36</v>
      </c>
      <c r="E269" t="s">
        <v>20</v>
      </c>
      <c r="F269" t="s">
        <v>28</v>
      </c>
      <c r="G269" t="s">
        <v>22</v>
      </c>
      <c r="H269">
        <v>14</v>
      </c>
      <c r="I269">
        <v>756</v>
      </c>
      <c r="J269">
        <v>10584</v>
      </c>
      <c r="K269">
        <v>112</v>
      </c>
      <c r="L269">
        <v>1568</v>
      </c>
      <c r="M269">
        <v>9016</v>
      </c>
    </row>
    <row r="270" spans="1:13">
      <c r="A270">
        <v>269</v>
      </c>
      <c r="B270" s="65535">
        <v>45106</v>
      </c>
      <c r="C270" t="s">
        <v>13</v>
      </c>
      <c r="D270" t="s">
        <v>14</v>
      </c>
      <c r="E270" t="s">
        <v>15</v>
      </c>
      <c r="F270" t="s">
        <v>49</v>
      </c>
      <c r="G270" t="s">
        <v>32</v>
      </c>
      <c r="H270">
        <v>122</v>
      </c>
      <c r="I270">
        <v>2520</v>
      </c>
      <c r="J270">
        <v>307440</v>
      </c>
      <c r="K270">
        <v>1131</v>
      </c>
      <c r="L270">
        <v>137982</v>
      </c>
      <c r="M270">
        <v>169458</v>
      </c>
    </row>
    <row r="271" spans="1:13">
      <c r="A271">
        <v>270</v>
      </c>
      <c r="B271" s="65535">
        <v>44956</v>
      </c>
      <c r="C271" t="s">
        <v>18</v>
      </c>
      <c r="D271" t="s">
        <v>50</v>
      </c>
      <c r="E271" t="s">
        <v>15</v>
      </c>
      <c r="F271" t="s">
        <v>49</v>
      </c>
      <c r="G271" t="s">
        <v>22</v>
      </c>
      <c r="H271">
        <v>490</v>
      </c>
      <c r="I271">
        <v>1976</v>
      </c>
      <c r="J271">
        <v>968240</v>
      </c>
      <c r="K271">
        <v>1327</v>
      </c>
      <c r="L271">
        <v>650230</v>
      </c>
      <c r="M271">
        <v>318010</v>
      </c>
    </row>
    <row r="272" spans="1:13">
      <c r="A272">
        <v>271</v>
      </c>
      <c r="B272" s="65535">
        <v>45119</v>
      </c>
      <c r="C272" t="s">
        <v>33</v>
      </c>
      <c r="D272" t="s">
        <v>39</v>
      </c>
      <c r="E272" t="s">
        <v>15</v>
      </c>
      <c r="F272" t="s">
        <v>49</v>
      </c>
      <c r="G272" t="s">
        <v>22</v>
      </c>
      <c r="H272">
        <v>346</v>
      </c>
      <c r="I272">
        <v>4837</v>
      </c>
      <c r="J272">
        <v>1673602</v>
      </c>
      <c r="K272">
        <v>1613</v>
      </c>
      <c r="L272">
        <v>558098</v>
      </c>
      <c r="M272">
        <v>1115504</v>
      </c>
    </row>
    <row r="273" spans="1:13">
      <c r="A273">
        <v>272</v>
      </c>
      <c r="B273" s="65535">
        <v>45265</v>
      </c>
      <c r="C273" t="s">
        <v>33</v>
      </c>
      <c r="D273" t="s">
        <v>46</v>
      </c>
      <c r="E273" t="s">
        <v>20</v>
      </c>
      <c r="F273" t="s">
        <v>21</v>
      </c>
      <c r="G273" t="s">
        <v>32</v>
      </c>
      <c r="H273">
        <v>489</v>
      </c>
      <c r="I273">
        <v>820</v>
      </c>
      <c r="J273">
        <v>400980</v>
      </c>
      <c r="K273">
        <v>754</v>
      </c>
      <c r="L273">
        <v>368706</v>
      </c>
      <c r="M273">
        <v>32274</v>
      </c>
    </row>
    <row r="274" spans="1:13">
      <c r="A274">
        <v>273</v>
      </c>
      <c r="B274" s="65535">
        <v>45092</v>
      </c>
      <c r="C274" t="s">
        <v>13</v>
      </c>
      <c r="D274" t="s">
        <v>23</v>
      </c>
      <c r="E274" t="s">
        <v>24</v>
      </c>
      <c r="F274" t="s">
        <v>35</v>
      </c>
      <c r="G274" t="s">
        <v>17</v>
      </c>
      <c r="H274">
        <v>141</v>
      </c>
      <c r="I274">
        <v>1526</v>
      </c>
      <c r="J274">
        <v>215166</v>
      </c>
      <c r="K274">
        <v>251</v>
      </c>
      <c r="L274">
        <v>35391</v>
      </c>
      <c r="M274">
        <v>179775</v>
      </c>
    </row>
    <row r="275" spans="1:13">
      <c r="A275">
        <v>274</v>
      </c>
      <c r="B275" s="65535">
        <v>44957</v>
      </c>
      <c r="C275" t="s">
        <v>26</v>
      </c>
      <c r="D275" t="s">
        <v>51</v>
      </c>
      <c r="E275" t="s">
        <v>24</v>
      </c>
      <c r="F275" t="s">
        <v>48</v>
      </c>
      <c r="G275" t="s">
        <v>32</v>
      </c>
      <c r="H275">
        <v>142</v>
      </c>
      <c r="I275">
        <v>2368</v>
      </c>
      <c r="J275">
        <v>336256</v>
      </c>
      <c r="K275">
        <v>828</v>
      </c>
      <c r="L275">
        <v>117576</v>
      </c>
      <c r="M275">
        <v>218680</v>
      </c>
    </row>
    <row r="276" spans="1:13">
      <c r="A276">
        <v>275</v>
      </c>
      <c r="B276" s="65535">
        <v>45128</v>
      </c>
      <c r="C276" t="s">
        <v>13</v>
      </c>
      <c r="D276" t="s">
        <v>14</v>
      </c>
      <c r="E276" t="s">
        <v>24</v>
      </c>
      <c r="F276" t="s">
        <v>25</v>
      </c>
      <c r="G276" t="s">
        <v>17</v>
      </c>
      <c r="H276">
        <v>101</v>
      </c>
      <c r="I276">
        <v>4230</v>
      </c>
      <c r="J276">
        <v>427230</v>
      </c>
      <c r="K276">
        <v>544</v>
      </c>
      <c r="L276">
        <v>54944</v>
      </c>
      <c r="M276">
        <v>372286</v>
      </c>
    </row>
    <row r="277" spans="1:13">
      <c r="A277">
        <v>276</v>
      </c>
      <c r="B277" s="65535">
        <v>44981</v>
      </c>
      <c r="C277" t="s">
        <v>18</v>
      </c>
      <c r="D277" t="s">
        <v>19</v>
      </c>
      <c r="E277" t="s">
        <v>30</v>
      </c>
      <c r="F277" t="s">
        <v>31</v>
      </c>
      <c r="G277" t="s">
        <v>17</v>
      </c>
      <c r="H277">
        <v>477</v>
      </c>
      <c r="I277">
        <v>3817</v>
      </c>
      <c r="J277">
        <v>1820709</v>
      </c>
      <c r="K277">
        <v>3030</v>
      </c>
      <c r="L277">
        <v>1445310</v>
      </c>
      <c r="M277">
        <v>375399</v>
      </c>
    </row>
    <row r="278" spans="1:13">
      <c r="A278">
        <v>277</v>
      </c>
      <c r="B278" s="65535">
        <v>45219</v>
      </c>
      <c r="C278" t="s">
        <v>26</v>
      </c>
      <c r="D278" t="s">
        <v>51</v>
      </c>
      <c r="E278" t="s">
        <v>15</v>
      </c>
      <c r="F278" t="s">
        <v>16</v>
      </c>
      <c r="G278" t="s">
        <v>22</v>
      </c>
      <c r="H278">
        <v>382</v>
      </c>
      <c r="I278">
        <v>2252</v>
      </c>
      <c r="J278">
        <v>860264</v>
      </c>
      <c r="K278">
        <v>1926</v>
      </c>
      <c r="L278">
        <v>735732</v>
      </c>
      <c r="M278">
        <v>124532</v>
      </c>
    </row>
    <row r="279" spans="1:13">
      <c r="A279">
        <v>278</v>
      </c>
      <c r="B279" s="65535">
        <v>44927</v>
      </c>
      <c r="C279" t="s">
        <v>33</v>
      </c>
      <c r="D279" t="s">
        <v>34</v>
      </c>
      <c r="E279" t="s">
        <v>30</v>
      </c>
      <c r="F279" t="s">
        <v>31</v>
      </c>
      <c r="G279" t="s">
        <v>17</v>
      </c>
      <c r="H279">
        <v>487</v>
      </c>
      <c r="I279">
        <v>509</v>
      </c>
      <c r="J279">
        <v>247883</v>
      </c>
      <c r="K279">
        <v>440</v>
      </c>
      <c r="L279">
        <v>214280</v>
      </c>
      <c r="M279">
        <v>33603</v>
      </c>
    </row>
    <row r="280" spans="1:13">
      <c r="A280">
        <v>279</v>
      </c>
      <c r="B280" s="65535">
        <v>45127</v>
      </c>
      <c r="C280" t="s">
        <v>13</v>
      </c>
      <c r="D280" t="s">
        <v>23</v>
      </c>
      <c r="E280" t="s">
        <v>30</v>
      </c>
      <c r="F280" t="s">
        <v>31</v>
      </c>
      <c r="G280" t="s">
        <v>32</v>
      </c>
      <c r="H280">
        <v>304</v>
      </c>
      <c r="I280">
        <v>230</v>
      </c>
      <c r="J280">
        <v>69920</v>
      </c>
      <c r="K280">
        <v>165</v>
      </c>
      <c r="L280">
        <v>50160</v>
      </c>
      <c r="M280">
        <v>19760</v>
      </c>
    </row>
    <row r="281" spans="1:13">
      <c r="A281">
        <v>280</v>
      </c>
      <c r="B281" s="65535">
        <v>44962</v>
      </c>
      <c r="C281" t="s">
        <v>13</v>
      </c>
      <c r="D281" t="s">
        <v>42</v>
      </c>
      <c r="E281" t="s">
        <v>24</v>
      </c>
      <c r="F281" t="s">
        <v>48</v>
      </c>
      <c r="G281" t="s">
        <v>17</v>
      </c>
      <c r="H281">
        <v>286</v>
      </c>
      <c r="I281">
        <v>2050</v>
      </c>
      <c r="J281">
        <v>586300</v>
      </c>
      <c r="K281">
        <v>106</v>
      </c>
      <c r="L281">
        <v>30316</v>
      </c>
      <c r="M281">
        <v>555984</v>
      </c>
    </row>
    <row r="282" spans="1:13">
      <c r="A282">
        <v>281</v>
      </c>
      <c r="B282" s="65535">
        <v>45110</v>
      </c>
      <c r="C282" t="s">
        <v>13</v>
      </c>
      <c r="D282" t="s">
        <v>42</v>
      </c>
      <c r="E282" t="s">
        <v>15</v>
      </c>
      <c r="F282" t="s">
        <v>49</v>
      </c>
      <c r="G282" t="s">
        <v>17</v>
      </c>
      <c r="H282">
        <v>180</v>
      </c>
      <c r="I282">
        <v>2680</v>
      </c>
      <c r="J282">
        <v>482400</v>
      </c>
      <c r="K282">
        <v>1740</v>
      </c>
      <c r="L282">
        <v>313200</v>
      </c>
      <c r="M282">
        <v>169200</v>
      </c>
    </row>
    <row r="283" spans="1:13">
      <c r="A283">
        <v>282</v>
      </c>
      <c r="B283" s="65535">
        <v>44968</v>
      </c>
      <c r="C283" t="s">
        <v>33</v>
      </c>
      <c r="D283" t="s">
        <v>39</v>
      </c>
      <c r="E283" t="s">
        <v>20</v>
      </c>
      <c r="F283" t="s">
        <v>28</v>
      </c>
      <c r="G283" t="s">
        <v>32</v>
      </c>
      <c r="H283">
        <v>440</v>
      </c>
      <c r="I283">
        <v>3965</v>
      </c>
      <c r="J283">
        <v>1744600</v>
      </c>
      <c r="K283">
        <v>3214</v>
      </c>
      <c r="L283">
        <v>1414160</v>
      </c>
      <c r="M283">
        <v>330440</v>
      </c>
    </row>
    <row r="284" spans="1:13">
      <c r="A284">
        <v>283</v>
      </c>
      <c r="B284" s="65535">
        <v>45123</v>
      </c>
      <c r="C284" t="s">
        <v>26</v>
      </c>
      <c r="D284" t="s">
        <v>36</v>
      </c>
      <c r="E284" t="s">
        <v>30</v>
      </c>
      <c r="F284" t="s">
        <v>31</v>
      </c>
      <c r="G284" t="s">
        <v>22</v>
      </c>
      <c r="H284">
        <v>348</v>
      </c>
      <c r="I284">
        <v>1764</v>
      </c>
      <c r="J284">
        <v>613872</v>
      </c>
      <c r="K284">
        <v>712</v>
      </c>
      <c r="L284">
        <v>247776</v>
      </c>
      <c r="M284">
        <v>366096</v>
      </c>
    </row>
    <row r="285" spans="1:13">
      <c r="A285">
        <v>284</v>
      </c>
      <c r="B285" s="65535">
        <v>45250</v>
      </c>
      <c r="C285" t="s">
        <v>13</v>
      </c>
      <c r="D285" t="s">
        <v>14</v>
      </c>
      <c r="E285" t="s">
        <v>20</v>
      </c>
      <c r="F285" t="s">
        <v>21</v>
      </c>
      <c r="G285" t="s">
        <v>22</v>
      </c>
      <c r="H285">
        <v>234</v>
      </c>
      <c r="I285">
        <v>1752</v>
      </c>
      <c r="J285">
        <v>409968</v>
      </c>
      <c r="K285">
        <v>386</v>
      </c>
      <c r="L285">
        <v>90324</v>
      </c>
      <c r="M285">
        <v>319644</v>
      </c>
    </row>
    <row r="286" spans="1:13">
      <c r="A286">
        <v>285</v>
      </c>
      <c r="B286" s="65535">
        <v>45049</v>
      </c>
      <c r="C286" t="s">
        <v>33</v>
      </c>
      <c r="D286" t="s">
        <v>46</v>
      </c>
      <c r="E286" t="s">
        <v>15</v>
      </c>
      <c r="F286" t="s">
        <v>49</v>
      </c>
      <c r="G286" t="s">
        <v>17</v>
      </c>
      <c r="H286">
        <v>260</v>
      </c>
      <c r="I286">
        <v>3384</v>
      </c>
      <c r="J286">
        <v>879840</v>
      </c>
      <c r="K286">
        <v>358</v>
      </c>
      <c r="L286">
        <v>93080</v>
      </c>
      <c r="M286">
        <v>786760</v>
      </c>
    </row>
    <row r="287" spans="1:13">
      <c r="A287">
        <v>286</v>
      </c>
      <c r="B287" s="65535">
        <v>45100</v>
      </c>
      <c r="C287" t="s">
        <v>26</v>
      </c>
      <c r="D287" t="s">
        <v>45</v>
      </c>
      <c r="E287" t="s">
        <v>24</v>
      </c>
      <c r="F287" t="s">
        <v>25</v>
      </c>
      <c r="G287" t="s">
        <v>22</v>
      </c>
      <c r="H287">
        <v>38</v>
      </c>
      <c r="I287">
        <v>2966</v>
      </c>
      <c r="J287">
        <v>112708</v>
      </c>
      <c r="K287">
        <v>275</v>
      </c>
      <c r="L287">
        <v>10450</v>
      </c>
      <c r="M287">
        <v>102258</v>
      </c>
    </row>
    <row r="288" spans="1:13">
      <c r="A288">
        <v>287</v>
      </c>
      <c r="B288" s="65535">
        <v>45194</v>
      </c>
      <c r="C288" t="s">
        <v>13</v>
      </c>
      <c r="D288" t="s">
        <v>14</v>
      </c>
      <c r="E288" t="s">
        <v>30</v>
      </c>
      <c r="F288" t="s">
        <v>31</v>
      </c>
      <c r="G288" t="s">
        <v>17</v>
      </c>
      <c r="H288">
        <v>244</v>
      </c>
      <c r="I288">
        <v>4595</v>
      </c>
      <c r="J288">
        <v>1121180</v>
      </c>
      <c r="K288">
        <v>1320</v>
      </c>
      <c r="L288">
        <v>322080</v>
      </c>
      <c r="M288">
        <v>799100</v>
      </c>
    </row>
    <row r="289" spans="1:13">
      <c r="A289">
        <v>288</v>
      </c>
      <c r="B289" s="65535">
        <v>45177</v>
      </c>
      <c r="C289" t="s">
        <v>18</v>
      </c>
      <c r="D289" t="s">
        <v>50</v>
      </c>
      <c r="E289" t="s">
        <v>15</v>
      </c>
      <c r="F289" t="s">
        <v>49</v>
      </c>
      <c r="G289" t="s">
        <v>22</v>
      </c>
      <c r="H289">
        <v>344</v>
      </c>
      <c r="I289">
        <v>356</v>
      </c>
      <c r="J289">
        <v>122464</v>
      </c>
      <c r="K289">
        <v>220</v>
      </c>
      <c r="L289">
        <v>75680</v>
      </c>
      <c r="M289">
        <v>46784</v>
      </c>
    </row>
    <row r="290" spans="1:13">
      <c r="A290">
        <v>289</v>
      </c>
      <c r="B290" s="65535">
        <v>45250</v>
      </c>
      <c r="C290" t="s">
        <v>33</v>
      </c>
      <c r="D290" t="s">
        <v>46</v>
      </c>
      <c r="E290" t="s">
        <v>30</v>
      </c>
      <c r="F290" t="s">
        <v>37</v>
      </c>
      <c r="G290" t="s">
        <v>22</v>
      </c>
      <c r="H290">
        <v>35</v>
      </c>
      <c r="I290">
        <v>2717</v>
      </c>
      <c r="J290">
        <v>95095</v>
      </c>
      <c r="K290">
        <v>498</v>
      </c>
      <c r="L290">
        <v>17430</v>
      </c>
      <c r="M290">
        <v>77665</v>
      </c>
    </row>
    <row r="291" spans="1:13">
      <c r="A291">
        <v>290</v>
      </c>
      <c r="B291" s="65535">
        <v>45181</v>
      </c>
      <c r="C291" t="s">
        <v>13</v>
      </c>
      <c r="D291" t="s">
        <v>43</v>
      </c>
      <c r="E291" t="s">
        <v>15</v>
      </c>
      <c r="F291" t="s">
        <v>16</v>
      </c>
      <c r="G291" t="s">
        <v>22</v>
      </c>
      <c r="H291">
        <v>314</v>
      </c>
      <c r="I291">
        <v>2006</v>
      </c>
      <c r="J291">
        <v>629884</v>
      </c>
      <c r="K291">
        <v>229</v>
      </c>
      <c r="L291">
        <v>71906</v>
      </c>
      <c r="M291">
        <v>557978</v>
      </c>
    </row>
    <row r="292" spans="1:13">
      <c r="A292">
        <v>291</v>
      </c>
      <c r="B292" s="65535">
        <v>45132</v>
      </c>
      <c r="C292" t="s">
        <v>18</v>
      </c>
      <c r="D292" t="s">
        <v>19</v>
      </c>
      <c r="E292" t="s">
        <v>20</v>
      </c>
      <c r="F292" t="s">
        <v>28</v>
      </c>
      <c r="G292" t="s">
        <v>17</v>
      </c>
      <c r="H292">
        <v>176</v>
      </c>
      <c r="I292">
        <v>1189</v>
      </c>
      <c r="J292">
        <v>209264</v>
      </c>
      <c r="K292">
        <v>381</v>
      </c>
      <c r="L292">
        <v>67056</v>
      </c>
      <c r="M292">
        <v>142208</v>
      </c>
    </row>
    <row r="293" spans="1:13">
      <c r="A293">
        <v>292</v>
      </c>
      <c r="B293" s="65535">
        <v>45098</v>
      </c>
      <c r="C293" t="s">
        <v>26</v>
      </c>
      <c r="D293" t="s">
        <v>36</v>
      </c>
      <c r="E293" t="s">
        <v>15</v>
      </c>
      <c r="F293" t="s">
        <v>49</v>
      </c>
      <c r="G293" t="s">
        <v>22</v>
      </c>
      <c r="H293">
        <v>42</v>
      </c>
      <c r="I293">
        <v>1189</v>
      </c>
      <c r="J293">
        <v>49938</v>
      </c>
      <c r="K293">
        <v>660</v>
      </c>
      <c r="L293">
        <v>27720</v>
      </c>
      <c r="M293">
        <v>22218</v>
      </c>
    </row>
    <row r="294" spans="1:13">
      <c r="A294">
        <v>293</v>
      </c>
      <c r="B294" s="65535">
        <v>45210</v>
      </c>
      <c r="C294" t="s">
        <v>18</v>
      </c>
      <c r="D294" t="s">
        <v>19</v>
      </c>
      <c r="E294" t="s">
        <v>30</v>
      </c>
      <c r="F294" t="s">
        <v>31</v>
      </c>
      <c r="G294" t="s">
        <v>32</v>
      </c>
      <c r="H294">
        <v>94</v>
      </c>
      <c r="I294">
        <v>3793</v>
      </c>
      <c r="J294">
        <v>356542</v>
      </c>
      <c r="K294">
        <v>1097</v>
      </c>
      <c r="L294">
        <v>103118</v>
      </c>
      <c r="M294">
        <v>253424</v>
      </c>
    </row>
    <row r="295" spans="1:13">
      <c r="A295">
        <v>294</v>
      </c>
      <c r="B295" s="65535">
        <v>45119</v>
      </c>
      <c r="C295" t="s">
        <v>33</v>
      </c>
      <c r="D295" t="s">
        <v>46</v>
      </c>
      <c r="E295" t="s">
        <v>15</v>
      </c>
      <c r="F295" t="s">
        <v>49</v>
      </c>
      <c r="G295" t="s">
        <v>17</v>
      </c>
      <c r="H295">
        <v>408</v>
      </c>
      <c r="I295">
        <v>1492</v>
      </c>
      <c r="J295">
        <v>608736</v>
      </c>
      <c r="K295">
        <v>132</v>
      </c>
      <c r="L295">
        <v>53856</v>
      </c>
      <c r="M295">
        <v>554880</v>
      </c>
    </row>
    <row r="296" spans="1:13">
      <c r="A296">
        <v>295</v>
      </c>
      <c r="B296" s="65535">
        <v>44972</v>
      </c>
      <c r="C296" t="s">
        <v>13</v>
      </c>
      <c r="D296" t="s">
        <v>14</v>
      </c>
      <c r="E296" t="s">
        <v>15</v>
      </c>
      <c r="F296" t="s">
        <v>16</v>
      </c>
      <c r="G296" t="s">
        <v>22</v>
      </c>
      <c r="H296">
        <v>371</v>
      </c>
      <c r="I296">
        <v>2524</v>
      </c>
      <c r="J296">
        <v>936404</v>
      </c>
      <c r="K296">
        <v>1804</v>
      </c>
      <c r="L296">
        <v>669284</v>
      </c>
      <c r="M296">
        <v>267120</v>
      </c>
    </row>
    <row r="297" spans="1:13">
      <c r="A297">
        <v>296</v>
      </c>
      <c r="B297" s="65535">
        <v>45065</v>
      </c>
      <c r="C297" t="s">
        <v>13</v>
      </c>
      <c r="D297" t="s">
        <v>43</v>
      </c>
      <c r="E297" t="s">
        <v>30</v>
      </c>
      <c r="F297" t="s">
        <v>37</v>
      </c>
      <c r="G297" t="s">
        <v>17</v>
      </c>
      <c r="H297">
        <v>277</v>
      </c>
      <c r="I297">
        <v>3889</v>
      </c>
      <c r="J297">
        <v>1077253</v>
      </c>
      <c r="K297">
        <v>1787</v>
      </c>
      <c r="L297">
        <v>494999</v>
      </c>
      <c r="M297">
        <v>582254</v>
      </c>
    </row>
    <row r="298" spans="1:13">
      <c r="A298">
        <v>297</v>
      </c>
      <c r="B298" s="65535">
        <v>45182</v>
      </c>
      <c r="C298" t="s">
        <v>18</v>
      </c>
      <c r="D298" t="s">
        <v>38</v>
      </c>
      <c r="E298" t="s">
        <v>15</v>
      </c>
      <c r="F298" t="s">
        <v>49</v>
      </c>
      <c r="G298" t="s">
        <v>22</v>
      </c>
      <c r="H298">
        <v>323</v>
      </c>
      <c r="I298">
        <v>921</v>
      </c>
      <c r="J298">
        <v>297483</v>
      </c>
      <c r="K298">
        <v>742</v>
      </c>
      <c r="L298">
        <v>239666</v>
      </c>
      <c r="M298">
        <v>57817</v>
      </c>
    </row>
    <row r="299" spans="1:13">
      <c r="A299">
        <v>298</v>
      </c>
      <c r="B299" s="65535">
        <v>45047</v>
      </c>
      <c r="C299" t="s">
        <v>26</v>
      </c>
      <c r="D299" t="s">
        <v>27</v>
      </c>
      <c r="E299" t="s">
        <v>24</v>
      </c>
      <c r="F299" t="s">
        <v>25</v>
      </c>
      <c r="G299" t="s">
        <v>17</v>
      </c>
      <c r="H299">
        <v>108</v>
      </c>
      <c r="I299">
        <v>1162</v>
      </c>
      <c r="J299">
        <v>125496</v>
      </c>
      <c r="K299">
        <v>1110</v>
      </c>
      <c r="L299">
        <v>119880</v>
      </c>
      <c r="M299">
        <v>5616</v>
      </c>
    </row>
    <row r="300" spans="1:13">
      <c r="A300">
        <v>299</v>
      </c>
      <c r="B300" s="65535">
        <v>45264</v>
      </c>
      <c r="C300" t="s">
        <v>33</v>
      </c>
      <c r="D300" t="s">
        <v>41</v>
      </c>
      <c r="E300" t="s">
        <v>30</v>
      </c>
      <c r="F300" t="s">
        <v>40</v>
      </c>
      <c r="G300" t="s">
        <v>17</v>
      </c>
      <c r="H300">
        <v>116</v>
      </c>
      <c r="I300">
        <v>2464</v>
      </c>
      <c r="J300">
        <v>285824</v>
      </c>
      <c r="K300">
        <v>317</v>
      </c>
      <c r="L300">
        <v>36772</v>
      </c>
      <c r="M300">
        <v>249052</v>
      </c>
    </row>
    <row r="301" spans="1:13">
      <c r="A301">
        <v>300</v>
      </c>
      <c r="B301" s="65535">
        <v>45181</v>
      </c>
      <c r="C301" t="s">
        <v>18</v>
      </c>
      <c r="D301" t="s">
        <v>50</v>
      </c>
      <c r="E301" t="s">
        <v>30</v>
      </c>
      <c r="F301" t="s">
        <v>31</v>
      </c>
      <c r="G301" t="s">
        <v>32</v>
      </c>
      <c r="H301">
        <v>100</v>
      </c>
      <c r="I301">
        <v>1508</v>
      </c>
      <c r="J301">
        <v>150800</v>
      </c>
      <c r="K301">
        <v>188</v>
      </c>
      <c r="L301">
        <v>18800</v>
      </c>
      <c r="M301">
        <v>132000</v>
      </c>
    </row>
    <row r="302" spans="1:13">
      <c r="A302">
        <v>301</v>
      </c>
      <c r="B302" s="65535">
        <v>45055</v>
      </c>
      <c r="C302" t="s">
        <v>33</v>
      </c>
      <c r="D302" t="s">
        <v>41</v>
      </c>
      <c r="E302" t="s">
        <v>20</v>
      </c>
      <c r="F302" t="s">
        <v>44</v>
      </c>
      <c r="G302" t="s">
        <v>32</v>
      </c>
      <c r="H302">
        <v>181</v>
      </c>
      <c r="I302">
        <v>3912</v>
      </c>
      <c r="J302">
        <v>708072</v>
      </c>
      <c r="K302">
        <v>277</v>
      </c>
      <c r="L302">
        <v>50137</v>
      </c>
      <c r="M302">
        <v>657935</v>
      </c>
    </row>
    <row r="303" spans="1:13">
      <c r="A303">
        <v>302</v>
      </c>
      <c r="B303" s="65535">
        <v>45175</v>
      </c>
      <c r="C303" t="s">
        <v>33</v>
      </c>
      <c r="D303" t="s">
        <v>39</v>
      </c>
      <c r="E303" t="s">
        <v>30</v>
      </c>
      <c r="F303" t="s">
        <v>37</v>
      </c>
      <c r="G303" t="s">
        <v>22</v>
      </c>
      <c r="H303">
        <v>273</v>
      </c>
      <c r="I303">
        <v>1150</v>
      </c>
      <c r="J303">
        <v>313950</v>
      </c>
      <c r="K303">
        <v>172</v>
      </c>
      <c r="L303">
        <v>46956</v>
      </c>
      <c r="M303">
        <v>266994</v>
      </c>
    </row>
    <row r="304" spans="1:13">
      <c r="A304">
        <v>303</v>
      </c>
      <c r="B304" s="65535">
        <v>45273</v>
      </c>
      <c r="C304" t="s">
        <v>18</v>
      </c>
      <c r="D304" t="s">
        <v>19</v>
      </c>
      <c r="E304" t="s">
        <v>20</v>
      </c>
      <c r="F304" t="s">
        <v>21</v>
      </c>
      <c r="G304" t="s">
        <v>22</v>
      </c>
      <c r="H304">
        <v>469</v>
      </c>
      <c r="I304">
        <v>2868</v>
      </c>
      <c r="J304">
        <v>1345092</v>
      </c>
      <c r="K304">
        <v>1042</v>
      </c>
      <c r="L304">
        <v>488698</v>
      </c>
      <c r="M304">
        <v>856394</v>
      </c>
    </row>
    <row r="305" spans="1:13">
      <c r="A305">
        <v>304</v>
      </c>
      <c r="B305" s="65535">
        <v>45138</v>
      </c>
      <c r="C305" t="s">
        <v>33</v>
      </c>
      <c r="D305" t="s">
        <v>41</v>
      </c>
      <c r="E305" t="s">
        <v>30</v>
      </c>
      <c r="F305" t="s">
        <v>37</v>
      </c>
      <c r="G305" t="s">
        <v>22</v>
      </c>
      <c r="H305">
        <v>455</v>
      </c>
      <c r="I305">
        <v>1838</v>
      </c>
      <c r="J305">
        <v>836290</v>
      </c>
      <c r="K305">
        <v>869</v>
      </c>
      <c r="L305">
        <v>395395</v>
      </c>
      <c r="M305">
        <v>440895</v>
      </c>
    </row>
    <row r="306" spans="1:13">
      <c r="A306">
        <v>305</v>
      </c>
      <c r="B306" s="65535">
        <v>44954</v>
      </c>
      <c r="C306" t="s">
        <v>18</v>
      </c>
      <c r="D306" t="s">
        <v>50</v>
      </c>
      <c r="E306" t="s">
        <v>24</v>
      </c>
      <c r="F306" t="s">
        <v>35</v>
      </c>
      <c r="G306" t="s">
        <v>32</v>
      </c>
      <c r="H306">
        <v>465</v>
      </c>
      <c r="I306">
        <v>3770</v>
      </c>
      <c r="J306">
        <v>1753050</v>
      </c>
      <c r="K306">
        <v>693</v>
      </c>
      <c r="L306">
        <v>322245</v>
      </c>
      <c r="M306">
        <v>1430805</v>
      </c>
    </row>
    <row r="307" spans="1:13">
      <c r="A307">
        <v>306</v>
      </c>
      <c r="B307" s="65535">
        <v>44996</v>
      </c>
      <c r="C307" t="s">
        <v>18</v>
      </c>
      <c r="D307" t="s">
        <v>19</v>
      </c>
      <c r="E307" t="s">
        <v>30</v>
      </c>
      <c r="F307" t="s">
        <v>40</v>
      </c>
      <c r="G307" t="s">
        <v>32</v>
      </c>
      <c r="H307">
        <v>244</v>
      </c>
      <c r="I307">
        <v>1790</v>
      </c>
      <c r="J307">
        <v>436760</v>
      </c>
      <c r="K307">
        <v>1394</v>
      </c>
      <c r="L307">
        <v>340136</v>
      </c>
      <c r="M307">
        <v>96624</v>
      </c>
    </row>
    <row r="308" spans="1:13">
      <c r="A308">
        <v>307</v>
      </c>
      <c r="B308" s="65535">
        <v>44943</v>
      </c>
      <c r="C308" t="s">
        <v>26</v>
      </c>
      <c r="D308" t="s">
        <v>27</v>
      </c>
      <c r="E308" t="s">
        <v>30</v>
      </c>
      <c r="F308" t="s">
        <v>40</v>
      </c>
      <c r="G308" t="s">
        <v>22</v>
      </c>
      <c r="H308">
        <v>364</v>
      </c>
      <c r="I308">
        <v>4858</v>
      </c>
      <c r="J308">
        <v>1768312</v>
      </c>
      <c r="K308">
        <v>588</v>
      </c>
      <c r="L308">
        <v>214032</v>
      </c>
      <c r="M308">
        <v>1554280</v>
      </c>
    </row>
    <row r="309" spans="1:13">
      <c r="A309">
        <v>308</v>
      </c>
      <c r="B309" s="65535">
        <v>45141</v>
      </c>
      <c r="C309" t="s">
        <v>26</v>
      </c>
      <c r="D309" t="s">
        <v>36</v>
      </c>
      <c r="E309" t="s">
        <v>15</v>
      </c>
      <c r="F309" t="s">
        <v>29</v>
      </c>
      <c r="G309" t="s">
        <v>32</v>
      </c>
      <c r="H309">
        <v>97</v>
      </c>
      <c r="I309">
        <v>3014</v>
      </c>
      <c r="J309">
        <v>292358</v>
      </c>
      <c r="K309">
        <v>1000</v>
      </c>
      <c r="L309">
        <v>97000</v>
      </c>
      <c r="M309">
        <v>195358</v>
      </c>
    </row>
    <row r="310" spans="1:13">
      <c r="A310">
        <v>309</v>
      </c>
      <c r="B310" s="65535">
        <v>45044</v>
      </c>
      <c r="C310" t="s">
        <v>26</v>
      </c>
      <c r="D310" t="s">
        <v>36</v>
      </c>
      <c r="E310" t="s">
        <v>30</v>
      </c>
      <c r="F310" t="s">
        <v>31</v>
      </c>
      <c r="G310" t="s">
        <v>17</v>
      </c>
      <c r="H310">
        <v>54</v>
      </c>
      <c r="I310">
        <v>3572</v>
      </c>
      <c r="J310">
        <v>192888</v>
      </c>
      <c r="K310">
        <v>2237</v>
      </c>
      <c r="L310">
        <v>120798</v>
      </c>
      <c r="M310">
        <v>72090</v>
      </c>
    </row>
    <row r="311" spans="1:13">
      <c r="A311">
        <v>310</v>
      </c>
      <c r="B311" s="65535">
        <v>44934</v>
      </c>
      <c r="C311" t="s">
        <v>13</v>
      </c>
      <c r="D311" t="s">
        <v>43</v>
      </c>
      <c r="E311" t="s">
        <v>24</v>
      </c>
      <c r="F311" t="s">
        <v>48</v>
      </c>
      <c r="G311" t="s">
        <v>32</v>
      </c>
      <c r="H311">
        <v>383</v>
      </c>
      <c r="I311">
        <v>3707</v>
      </c>
      <c r="J311">
        <v>1419781</v>
      </c>
      <c r="K311">
        <v>3115</v>
      </c>
      <c r="L311">
        <v>1193045</v>
      </c>
      <c r="M311">
        <v>226736</v>
      </c>
    </row>
    <row r="312" spans="1:13">
      <c r="A312">
        <v>311</v>
      </c>
      <c r="B312" s="65535">
        <v>45040</v>
      </c>
      <c r="C312" t="s">
        <v>18</v>
      </c>
      <c r="D312" t="s">
        <v>38</v>
      </c>
      <c r="E312" t="s">
        <v>20</v>
      </c>
      <c r="F312" t="s">
        <v>21</v>
      </c>
      <c r="G312" t="s">
        <v>17</v>
      </c>
      <c r="H312">
        <v>466</v>
      </c>
      <c r="I312">
        <v>1420</v>
      </c>
      <c r="J312">
        <v>661720</v>
      </c>
      <c r="K312">
        <v>1274</v>
      </c>
      <c r="L312">
        <v>593684</v>
      </c>
      <c r="M312">
        <v>68036</v>
      </c>
    </row>
    <row r="313" spans="1:13">
      <c r="A313">
        <v>312</v>
      </c>
      <c r="B313" s="65535">
        <v>45185</v>
      </c>
      <c r="C313" t="s">
        <v>33</v>
      </c>
      <c r="D313" t="s">
        <v>34</v>
      </c>
      <c r="E313" t="s">
        <v>15</v>
      </c>
      <c r="F313" t="s">
        <v>16</v>
      </c>
      <c r="G313" t="s">
        <v>32</v>
      </c>
      <c r="H313">
        <v>27</v>
      </c>
      <c r="I313">
        <v>3687</v>
      </c>
      <c r="J313">
        <v>99549</v>
      </c>
      <c r="K313">
        <v>2275</v>
      </c>
      <c r="L313">
        <v>61425</v>
      </c>
      <c r="M313">
        <v>38124</v>
      </c>
    </row>
    <row r="314" spans="1:13">
      <c r="A314">
        <v>313</v>
      </c>
      <c r="B314" s="65535">
        <v>45050</v>
      </c>
      <c r="C314" t="s">
        <v>13</v>
      </c>
      <c r="D314" t="s">
        <v>42</v>
      </c>
      <c r="E314" t="s">
        <v>15</v>
      </c>
      <c r="F314" t="s">
        <v>29</v>
      </c>
      <c r="G314" t="s">
        <v>32</v>
      </c>
      <c r="H314">
        <v>52</v>
      </c>
      <c r="I314">
        <v>4775</v>
      </c>
      <c r="J314">
        <v>248300</v>
      </c>
      <c r="K314">
        <v>201</v>
      </c>
      <c r="L314">
        <v>10452</v>
      </c>
      <c r="M314">
        <v>237848</v>
      </c>
    </row>
    <row r="315" spans="1:13">
      <c r="A315">
        <v>314</v>
      </c>
      <c r="B315" s="65535">
        <v>45049</v>
      </c>
      <c r="C315" t="s">
        <v>13</v>
      </c>
      <c r="D315" t="s">
        <v>43</v>
      </c>
      <c r="E315" t="s">
        <v>30</v>
      </c>
      <c r="F315" t="s">
        <v>40</v>
      </c>
      <c r="G315" t="s">
        <v>32</v>
      </c>
      <c r="H315">
        <v>341</v>
      </c>
      <c r="I315">
        <v>943</v>
      </c>
      <c r="J315">
        <v>321563</v>
      </c>
      <c r="K315">
        <v>116</v>
      </c>
      <c r="L315">
        <v>39556</v>
      </c>
      <c r="M315">
        <v>282007</v>
      </c>
    </row>
    <row r="316" spans="1:13">
      <c r="A316">
        <v>315</v>
      </c>
      <c r="B316" s="65535">
        <v>45219</v>
      </c>
      <c r="C316" t="s">
        <v>13</v>
      </c>
      <c r="D316" t="s">
        <v>23</v>
      </c>
      <c r="E316" t="s">
        <v>30</v>
      </c>
      <c r="F316" t="s">
        <v>31</v>
      </c>
      <c r="G316" t="s">
        <v>32</v>
      </c>
      <c r="H316">
        <v>392</v>
      </c>
      <c r="I316">
        <v>4981</v>
      </c>
      <c r="J316">
        <v>1952552</v>
      </c>
      <c r="K316">
        <v>299</v>
      </c>
      <c r="L316">
        <v>117208</v>
      </c>
      <c r="M316">
        <v>1835344</v>
      </c>
    </row>
    <row r="317" spans="1:13">
      <c r="A317">
        <v>316</v>
      </c>
      <c r="B317" s="65535">
        <v>45021</v>
      </c>
      <c r="C317" t="s">
        <v>13</v>
      </c>
      <c r="D317" t="s">
        <v>42</v>
      </c>
      <c r="E317" t="s">
        <v>30</v>
      </c>
      <c r="F317" t="s">
        <v>31</v>
      </c>
      <c r="G317" t="s">
        <v>32</v>
      </c>
      <c r="H317">
        <v>414</v>
      </c>
      <c r="I317">
        <v>3234</v>
      </c>
      <c r="J317">
        <v>1338876</v>
      </c>
      <c r="K317">
        <v>2667</v>
      </c>
      <c r="L317">
        <v>1104138</v>
      </c>
      <c r="M317">
        <v>234738</v>
      </c>
    </row>
    <row r="318" spans="1:13">
      <c r="A318">
        <v>317</v>
      </c>
      <c r="B318" s="65535">
        <v>45097</v>
      </c>
      <c r="C318" t="s">
        <v>13</v>
      </c>
      <c r="D318" t="s">
        <v>14</v>
      </c>
      <c r="E318" t="s">
        <v>15</v>
      </c>
      <c r="F318" t="s">
        <v>29</v>
      </c>
      <c r="G318" t="s">
        <v>17</v>
      </c>
      <c r="H318">
        <v>281</v>
      </c>
      <c r="I318">
        <v>467</v>
      </c>
      <c r="J318">
        <v>131227</v>
      </c>
      <c r="K318">
        <v>251</v>
      </c>
      <c r="L318">
        <v>70531</v>
      </c>
      <c r="M318">
        <v>60696</v>
      </c>
    </row>
    <row r="319" spans="1:13">
      <c r="A319">
        <v>318</v>
      </c>
      <c r="B319" s="65535">
        <v>45244</v>
      </c>
      <c r="C319" t="s">
        <v>13</v>
      </c>
      <c r="D319" t="s">
        <v>23</v>
      </c>
      <c r="E319" t="s">
        <v>30</v>
      </c>
      <c r="F319" t="s">
        <v>31</v>
      </c>
      <c r="G319" t="s">
        <v>22</v>
      </c>
      <c r="H319">
        <v>460</v>
      </c>
      <c r="I319">
        <v>2950</v>
      </c>
      <c r="J319">
        <v>1357000</v>
      </c>
      <c r="K319">
        <v>324</v>
      </c>
      <c r="L319">
        <v>149040</v>
      </c>
      <c r="M319">
        <v>1207960</v>
      </c>
    </row>
    <row r="320" spans="1:13">
      <c r="A320">
        <v>319</v>
      </c>
      <c r="B320" s="65535">
        <v>45165</v>
      </c>
      <c r="C320" t="s">
        <v>26</v>
      </c>
      <c r="D320" t="s">
        <v>51</v>
      </c>
      <c r="E320" t="s">
        <v>15</v>
      </c>
      <c r="F320" t="s">
        <v>29</v>
      </c>
      <c r="G320" t="s">
        <v>32</v>
      </c>
      <c r="H320">
        <v>326</v>
      </c>
      <c r="I320">
        <v>534</v>
      </c>
      <c r="J320">
        <v>174084</v>
      </c>
      <c r="K320">
        <v>287</v>
      </c>
      <c r="L320">
        <v>93562</v>
      </c>
      <c r="M320">
        <v>80522</v>
      </c>
    </row>
    <row r="321" spans="1:13">
      <c r="A321">
        <v>320</v>
      </c>
      <c r="B321" s="65535">
        <v>45031</v>
      </c>
      <c r="C321" t="s">
        <v>26</v>
      </c>
      <c r="D321" t="s">
        <v>36</v>
      </c>
      <c r="E321" t="s">
        <v>15</v>
      </c>
      <c r="F321" t="s">
        <v>49</v>
      </c>
      <c r="G321" t="s">
        <v>17</v>
      </c>
      <c r="H321">
        <v>80</v>
      </c>
      <c r="I321">
        <v>2943</v>
      </c>
      <c r="J321">
        <v>235440</v>
      </c>
      <c r="K321">
        <v>1077</v>
      </c>
      <c r="L321">
        <v>86160</v>
      </c>
      <c r="M321">
        <v>149280</v>
      </c>
    </row>
    <row r="322" spans="1:13">
      <c r="A322">
        <v>321</v>
      </c>
      <c r="B322" s="65535">
        <v>45091</v>
      </c>
      <c r="C322" t="s">
        <v>33</v>
      </c>
      <c r="D322" t="s">
        <v>34</v>
      </c>
      <c r="E322" t="s">
        <v>30</v>
      </c>
      <c r="F322" t="s">
        <v>31</v>
      </c>
      <c r="G322" t="s">
        <v>22</v>
      </c>
      <c r="H322">
        <v>190</v>
      </c>
      <c r="I322">
        <v>2390</v>
      </c>
      <c r="J322">
        <v>454100</v>
      </c>
      <c r="K322">
        <v>2162</v>
      </c>
      <c r="L322">
        <v>410780</v>
      </c>
      <c r="M322">
        <v>43320</v>
      </c>
    </row>
    <row r="323" spans="1:13">
      <c r="A323">
        <v>322</v>
      </c>
      <c r="B323" s="65535">
        <v>45103</v>
      </c>
      <c r="C323" t="s">
        <v>13</v>
      </c>
      <c r="D323" t="s">
        <v>23</v>
      </c>
      <c r="E323" t="s">
        <v>15</v>
      </c>
      <c r="F323" t="s">
        <v>16</v>
      </c>
      <c r="G323" t="s">
        <v>32</v>
      </c>
      <c r="H323">
        <v>241</v>
      </c>
      <c r="I323">
        <v>4183</v>
      </c>
      <c r="J323">
        <v>1008103</v>
      </c>
      <c r="K323">
        <v>2153</v>
      </c>
      <c r="L323">
        <v>518873</v>
      </c>
      <c r="M323">
        <v>489230</v>
      </c>
    </row>
    <row r="324" spans="1:13">
      <c r="A324">
        <v>323</v>
      </c>
      <c r="B324" s="65535">
        <v>45115</v>
      </c>
      <c r="C324" t="s">
        <v>33</v>
      </c>
      <c r="D324" t="s">
        <v>34</v>
      </c>
      <c r="E324" t="s">
        <v>20</v>
      </c>
      <c r="F324" t="s">
        <v>21</v>
      </c>
      <c r="G324" t="s">
        <v>17</v>
      </c>
      <c r="H324">
        <v>419</v>
      </c>
      <c r="I324">
        <v>737</v>
      </c>
      <c r="J324">
        <v>308803</v>
      </c>
      <c r="K324">
        <v>292</v>
      </c>
      <c r="L324">
        <v>122348</v>
      </c>
      <c r="M324">
        <v>186455</v>
      </c>
    </row>
    <row r="325" spans="1:13">
      <c r="A325">
        <v>324</v>
      </c>
      <c r="B325" s="65535">
        <v>45074</v>
      </c>
      <c r="C325" t="s">
        <v>13</v>
      </c>
      <c r="D325" t="s">
        <v>14</v>
      </c>
      <c r="E325" t="s">
        <v>15</v>
      </c>
      <c r="F325" t="s">
        <v>29</v>
      </c>
      <c r="G325" t="s">
        <v>22</v>
      </c>
      <c r="H325">
        <v>500</v>
      </c>
      <c r="I325">
        <v>830</v>
      </c>
      <c r="J325">
        <v>415000</v>
      </c>
      <c r="K325">
        <v>211</v>
      </c>
      <c r="L325">
        <v>105500</v>
      </c>
      <c r="M325">
        <v>309500</v>
      </c>
    </row>
    <row r="326" spans="1:13">
      <c r="A326">
        <v>325</v>
      </c>
      <c r="B326" s="65535">
        <v>45181</v>
      </c>
      <c r="C326" t="s">
        <v>18</v>
      </c>
      <c r="D326" t="s">
        <v>47</v>
      </c>
      <c r="E326" t="s">
        <v>15</v>
      </c>
      <c r="F326" t="s">
        <v>49</v>
      </c>
      <c r="G326" t="s">
        <v>22</v>
      </c>
      <c r="H326">
        <v>87</v>
      </c>
      <c r="I326">
        <v>1873</v>
      </c>
      <c r="J326">
        <v>162951</v>
      </c>
      <c r="K326">
        <v>1166</v>
      </c>
      <c r="L326">
        <v>101442</v>
      </c>
      <c r="M326">
        <v>61509</v>
      </c>
    </row>
    <row r="327" spans="1:13">
      <c r="A327">
        <v>326</v>
      </c>
      <c r="B327" s="65535">
        <v>44994</v>
      </c>
      <c r="C327" t="s">
        <v>33</v>
      </c>
      <c r="D327" t="s">
        <v>41</v>
      </c>
      <c r="E327" t="s">
        <v>24</v>
      </c>
      <c r="F327" t="s">
        <v>35</v>
      </c>
      <c r="G327" t="s">
        <v>17</v>
      </c>
      <c r="H327">
        <v>252</v>
      </c>
      <c r="I327">
        <v>3040</v>
      </c>
      <c r="J327">
        <v>766080</v>
      </c>
      <c r="K327">
        <v>1820</v>
      </c>
      <c r="L327">
        <v>458640</v>
      </c>
      <c r="M327">
        <v>307440</v>
      </c>
    </row>
    <row r="328" spans="1:13">
      <c r="A328">
        <v>327</v>
      </c>
      <c r="B328" s="65535">
        <v>44938</v>
      </c>
      <c r="C328" t="s">
        <v>13</v>
      </c>
      <c r="D328" t="s">
        <v>14</v>
      </c>
      <c r="E328" t="s">
        <v>20</v>
      </c>
      <c r="F328" t="s">
        <v>44</v>
      </c>
      <c r="G328" t="s">
        <v>22</v>
      </c>
      <c r="H328">
        <v>456</v>
      </c>
      <c r="I328">
        <v>2103</v>
      </c>
      <c r="J328">
        <v>958968</v>
      </c>
      <c r="K328">
        <v>1809</v>
      </c>
      <c r="L328">
        <v>824904</v>
      </c>
      <c r="M328">
        <v>134064</v>
      </c>
    </row>
    <row r="329" spans="1:13">
      <c r="A329">
        <v>328</v>
      </c>
      <c r="B329" s="65535">
        <v>45094</v>
      </c>
      <c r="C329" t="s">
        <v>26</v>
      </c>
      <c r="D329" t="s">
        <v>45</v>
      </c>
      <c r="E329" t="s">
        <v>20</v>
      </c>
      <c r="F329" t="s">
        <v>28</v>
      </c>
      <c r="G329" t="s">
        <v>17</v>
      </c>
      <c r="H329">
        <v>258</v>
      </c>
      <c r="I329">
        <v>4543</v>
      </c>
      <c r="J329">
        <v>1172094</v>
      </c>
      <c r="K329">
        <v>3747</v>
      </c>
      <c r="L329">
        <v>966726</v>
      </c>
      <c r="M329">
        <v>205368</v>
      </c>
    </row>
    <row r="330" spans="1:13">
      <c r="A330">
        <v>329</v>
      </c>
      <c r="B330" s="65535">
        <v>45060</v>
      </c>
      <c r="C330" t="s">
        <v>13</v>
      </c>
      <c r="D330" t="s">
        <v>23</v>
      </c>
      <c r="E330" t="s">
        <v>30</v>
      </c>
      <c r="F330" t="s">
        <v>40</v>
      </c>
      <c r="G330" t="s">
        <v>22</v>
      </c>
      <c r="H330">
        <v>126</v>
      </c>
      <c r="I330">
        <v>4166</v>
      </c>
      <c r="J330">
        <v>524916</v>
      </c>
      <c r="K330">
        <v>1623</v>
      </c>
      <c r="L330">
        <v>204498</v>
      </c>
      <c r="M330">
        <v>320418</v>
      </c>
    </row>
    <row r="331" spans="1:13">
      <c r="A331">
        <v>330</v>
      </c>
      <c r="B331" s="65535">
        <v>45160</v>
      </c>
      <c r="C331" t="s">
        <v>26</v>
      </c>
      <c r="D331" t="s">
        <v>51</v>
      </c>
      <c r="E331" t="s">
        <v>30</v>
      </c>
      <c r="F331" t="s">
        <v>40</v>
      </c>
      <c r="G331" t="s">
        <v>32</v>
      </c>
      <c r="H331">
        <v>499</v>
      </c>
      <c r="I331">
        <v>1562</v>
      </c>
      <c r="J331">
        <v>779438</v>
      </c>
      <c r="K331">
        <v>1366</v>
      </c>
      <c r="L331">
        <v>681634</v>
      </c>
      <c r="M331">
        <v>97804</v>
      </c>
    </row>
    <row r="332" spans="1:13">
      <c r="A332">
        <v>331</v>
      </c>
      <c r="B332" s="65535">
        <v>45281</v>
      </c>
      <c r="C332" t="s">
        <v>18</v>
      </c>
      <c r="D332" t="s">
        <v>47</v>
      </c>
      <c r="E332" t="s">
        <v>30</v>
      </c>
      <c r="F332" t="s">
        <v>37</v>
      </c>
      <c r="G332" t="s">
        <v>17</v>
      </c>
      <c r="H332">
        <v>473</v>
      </c>
      <c r="I332">
        <v>1457</v>
      </c>
      <c r="J332">
        <v>689161</v>
      </c>
      <c r="K332">
        <v>430</v>
      </c>
      <c r="L332">
        <v>203390</v>
      </c>
      <c r="M332">
        <v>485771</v>
      </c>
    </row>
    <row r="333" spans="1:13">
      <c r="A333">
        <v>332</v>
      </c>
      <c r="B333" s="65535">
        <v>44991</v>
      </c>
      <c r="C333" t="s">
        <v>18</v>
      </c>
      <c r="D333" t="s">
        <v>50</v>
      </c>
      <c r="E333" t="s">
        <v>15</v>
      </c>
      <c r="F333" t="s">
        <v>29</v>
      </c>
      <c r="G333" t="s">
        <v>17</v>
      </c>
      <c r="H333">
        <v>235</v>
      </c>
      <c r="I333">
        <v>2333</v>
      </c>
      <c r="J333">
        <v>548255</v>
      </c>
      <c r="K333">
        <v>1614</v>
      </c>
      <c r="L333">
        <v>379290</v>
      </c>
      <c r="M333">
        <v>168965</v>
      </c>
    </row>
    <row r="334" spans="1:13">
      <c r="A334">
        <v>333</v>
      </c>
      <c r="B334" s="65535">
        <v>45103</v>
      </c>
      <c r="C334" t="s">
        <v>18</v>
      </c>
      <c r="D334" t="s">
        <v>38</v>
      </c>
      <c r="E334" t="s">
        <v>15</v>
      </c>
      <c r="F334" t="s">
        <v>49</v>
      </c>
      <c r="G334" t="s">
        <v>32</v>
      </c>
      <c r="H334">
        <v>85</v>
      </c>
      <c r="I334">
        <v>3254</v>
      </c>
      <c r="J334">
        <v>276590</v>
      </c>
      <c r="K334">
        <v>1936</v>
      </c>
      <c r="L334">
        <v>164560</v>
      </c>
      <c r="M334">
        <v>112030</v>
      </c>
    </row>
    <row r="335" spans="1:13">
      <c r="A335">
        <v>334</v>
      </c>
      <c r="B335" s="65535">
        <v>45182</v>
      </c>
      <c r="C335" t="s">
        <v>18</v>
      </c>
      <c r="D335" t="s">
        <v>47</v>
      </c>
      <c r="E335" t="s">
        <v>15</v>
      </c>
      <c r="F335" t="s">
        <v>16</v>
      </c>
      <c r="G335" t="s">
        <v>32</v>
      </c>
      <c r="H335">
        <v>403</v>
      </c>
      <c r="I335">
        <v>1390</v>
      </c>
      <c r="J335">
        <v>560170</v>
      </c>
      <c r="K335">
        <v>1038</v>
      </c>
      <c r="L335">
        <v>418314</v>
      </c>
      <c r="M335">
        <v>141856</v>
      </c>
    </row>
    <row r="336" spans="1:13">
      <c r="A336">
        <v>335</v>
      </c>
      <c r="B336" s="65535">
        <v>45186</v>
      </c>
      <c r="C336" t="s">
        <v>26</v>
      </c>
      <c r="D336" t="s">
        <v>36</v>
      </c>
      <c r="E336" t="s">
        <v>15</v>
      </c>
      <c r="F336" t="s">
        <v>49</v>
      </c>
      <c r="G336" t="s">
        <v>17</v>
      </c>
      <c r="H336">
        <v>179</v>
      </c>
      <c r="I336">
        <v>2621</v>
      </c>
      <c r="J336">
        <v>469159</v>
      </c>
      <c r="K336">
        <v>2041</v>
      </c>
      <c r="L336">
        <v>365339</v>
      </c>
      <c r="M336">
        <v>103820</v>
      </c>
    </row>
    <row r="337" spans="1:13">
      <c r="A337">
        <v>336</v>
      </c>
      <c r="B337" s="65535">
        <v>44984</v>
      </c>
      <c r="C337" t="s">
        <v>26</v>
      </c>
      <c r="D337" t="s">
        <v>36</v>
      </c>
      <c r="E337" t="s">
        <v>24</v>
      </c>
      <c r="F337" t="s">
        <v>48</v>
      </c>
      <c r="G337" t="s">
        <v>17</v>
      </c>
      <c r="H337">
        <v>384</v>
      </c>
      <c r="I337">
        <v>4123</v>
      </c>
      <c r="J337">
        <v>1583232</v>
      </c>
      <c r="K337">
        <v>3787</v>
      </c>
      <c r="L337">
        <v>1454208</v>
      </c>
      <c r="M337">
        <v>129024</v>
      </c>
    </row>
    <row r="338" spans="1:13">
      <c r="A338">
        <v>337</v>
      </c>
      <c r="B338" s="65535">
        <v>45132</v>
      </c>
      <c r="C338" t="s">
        <v>33</v>
      </c>
      <c r="D338" t="s">
        <v>46</v>
      </c>
      <c r="E338" t="s">
        <v>15</v>
      </c>
      <c r="F338" t="s">
        <v>29</v>
      </c>
      <c r="G338" t="s">
        <v>22</v>
      </c>
      <c r="H338">
        <v>326</v>
      </c>
      <c r="I338">
        <v>2005</v>
      </c>
      <c r="J338">
        <v>653630</v>
      </c>
      <c r="K338">
        <v>1013</v>
      </c>
      <c r="L338">
        <v>330238</v>
      </c>
      <c r="M338">
        <v>323392</v>
      </c>
    </row>
    <row r="339" spans="1:13">
      <c r="A339">
        <v>338</v>
      </c>
      <c r="B339" s="65535">
        <v>45255</v>
      </c>
      <c r="C339" t="s">
        <v>26</v>
      </c>
      <c r="D339" t="s">
        <v>51</v>
      </c>
      <c r="E339" t="s">
        <v>20</v>
      </c>
      <c r="F339" t="s">
        <v>44</v>
      </c>
      <c r="G339" t="s">
        <v>17</v>
      </c>
      <c r="H339">
        <v>109</v>
      </c>
      <c r="I339">
        <v>4979</v>
      </c>
      <c r="J339">
        <v>542711</v>
      </c>
      <c r="K339">
        <v>4412</v>
      </c>
      <c r="L339">
        <v>480908</v>
      </c>
      <c r="M339">
        <v>61803</v>
      </c>
    </row>
    <row r="340" spans="1:13">
      <c r="A340">
        <v>339</v>
      </c>
      <c r="B340" s="65535">
        <v>45202</v>
      </c>
      <c r="C340" t="s">
        <v>18</v>
      </c>
      <c r="D340" t="s">
        <v>47</v>
      </c>
      <c r="E340" t="s">
        <v>30</v>
      </c>
      <c r="F340" t="s">
        <v>37</v>
      </c>
      <c r="G340" t="s">
        <v>22</v>
      </c>
      <c r="H340">
        <v>444</v>
      </c>
      <c r="I340">
        <v>3849</v>
      </c>
      <c r="J340">
        <v>1708956</v>
      </c>
      <c r="K340">
        <v>2873</v>
      </c>
      <c r="L340">
        <v>1275612</v>
      </c>
      <c r="M340">
        <v>433344</v>
      </c>
    </row>
    <row r="341" spans="1:13">
      <c r="A341">
        <v>340</v>
      </c>
      <c r="B341" s="65535">
        <v>45235</v>
      </c>
      <c r="C341" t="s">
        <v>33</v>
      </c>
      <c r="D341" t="s">
        <v>34</v>
      </c>
      <c r="E341" t="s">
        <v>30</v>
      </c>
      <c r="F341" t="s">
        <v>40</v>
      </c>
      <c r="G341" t="s">
        <v>32</v>
      </c>
      <c r="H341">
        <v>319</v>
      </c>
      <c r="I341">
        <v>4390</v>
      </c>
      <c r="J341">
        <v>1400410</v>
      </c>
      <c r="K341">
        <v>559</v>
      </c>
      <c r="L341">
        <v>178321</v>
      </c>
      <c r="M341">
        <v>1222089</v>
      </c>
    </row>
    <row r="342" spans="1:13">
      <c r="A342">
        <v>341</v>
      </c>
      <c r="B342" s="65535">
        <v>45116</v>
      </c>
      <c r="C342" t="s">
        <v>26</v>
      </c>
      <c r="D342" t="s">
        <v>45</v>
      </c>
      <c r="E342" t="s">
        <v>30</v>
      </c>
      <c r="F342" t="s">
        <v>31</v>
      </c>
      <c r="G342" t="s">
        <v>32</v>
      </c>
      <c r="H342">
        <v>207</v>
      </c>
      <c r="I342">
        <v>3254</v>
      </c>
      <c r="J342">
        <v>673578</v>
      </c>
      <c r="K342">
        <v>149</v>
      </c>
      <c r="L342">
        <v>30843</v>
      </c>
      <c r="M342">
        <v>642735</v>
      </c>
    </row>
    <row r="343" spans="1:13">
      <c r="A343">
        <v>342</v>
      </c>
      <c r="B343" s="65535">
        <v>45214</v>
      </c>
      <c r="C343" t="s">
        <v>26</v>
      </c>
      <c r="D343" t="s">
        <v>27</v>
      </c>
      <c r="E343" t="s">
        <v>20</v>
      </c>
      <c r="F343" t="s">
        <v>21</v>
      </c>
      <c r="G343" t="s">
        <v>32</v>
      </c>
      <c r="H343">
        <v>54</v>
      </c>
      <c r="I343">
        <v>1966</v>
      </c>
      <c r="J343">
        <v>106164</v>
      </c>
      <c r="K343">
        <v>1590</v>
      </c>
      <c r="L343">
        <v>85860</v>
      </c>
      <c r="M343">
        <v>20304</v>
      </c>
    </row>
    <row r="344" spans="1:13">
      <c r="A344">
        <v>343</v>
      </c>
      <c r="B344" s="65535">
        <v>45144</v>
      </c>
      <c r="C344" t="s">
        <v>13</v>
      </c>
      <c r="D344" t="s">
        <v>42</v>
      </c>
      <c r="E344" t="s">
        <v>24</v>
      </c>
      <c r="F344" t="s">
        <v>48</v>
      </c>
      <c r="G344" t="s">
        <v>22</v>
      </c>
      <c r="H344">
        <v>383</v>
      </c>
      <c r="I344">
        <v>3593</v>
      </c>
      <c r="J344">
        <v>1376119</v>
      </c>
      <c r="K344">
        <v>671</v>
      </c>
      <c r="L344">
        <v>256993</v>
      </c>
      <c r="M344">
        <v>1119126</v>
      </c>
    </row>
    <row r="345" spans="1:13">
      <c r="A345">
        <v>344</v>
      </c>
      <c r="B345" s="65535">
        <v>45195</v>
      </c>
      <c r="C345" t="s">
        <v>33</v>
      </c>
      <c r="D345" t="s">
        <v>46</v>
      </c>
      <c r="E345" t="s">
        <v>30</v>
      </c>
      <c r="F345" t="s">
        <v>40</v>
      </c>
      <c r="G345" t="s">
        <v>32</v>
      </c>
      <c r="H345">
        <v>181</v>
      </c>
      <c r="I345">
        <v>741</v>
      </c>
      <c r="J345">
        <v>134121</v>
      </c>
      <c r="K345">
        <v>484</v>
      </c>
      <c r="L345">
        <v>87604</v>
      </c>
      <c r="M345">
        <v>46517</v>
      </c>
    </row>
    <row r="346" spans="1:13">
      <c r="A346">
        <v>345</v>
      </c>
      <c r="B346" s="65535">
        <v>45139</v>
      </c>
      <c r="C346" t="s">
        <v>33</v>
      </c>
      <c r="D346" t="s">
        <v>39</v>
      </c>
      <c r="E346" t="s">
        <v>24</v>
      </c>
      <c r="F346" t="s">
        <v>35</v>
      </c>
      <c r="G346" t="s">
        <v>32</v>
      </c>
      <c r="H346">
        <v>99</v>
      </c>
      <c r="I346">
        <v>4753</v>
      </c>
      <c r="J346">
        <v>470547</v>
      </c>
      <c r="K346">
        <v>3885</v>
      </c>
      <c r="L346">
        <v>384615</v>
      </c>
      <c r="M346">
        <v>85932</v>
      </c>
    </row>
    <row r="347" spans="1:13">
      <c r="A347">
        <v>346</v>
      </c>
      <c r="B347" s="65535">
        <v>45210</v>
      </c>
      <c r="C347" t="s">
        <v>18</v>
      </c>
      <c r="D347" t="s">
        <v>38</v>
      </c>
      <c r="E347" t="s">
        <v>30</v>
      </c>
      <c r="F347" t="s">
        <v>40</v>
      </c>
      <c r="G347" t="s">
        <v>32</v>
      </c>
      <c r="H347">
        <v>261</v>
      </c>
      <c r="I347">
        <v>545</v>
      </c>
      <c r="J347">
        <v>142245</v>
      </c>
      <c r="K347">
        <v>254</v>
      </c>
      <c r="L347">
        <v>66294</v>
      </c>
      <c r="M347">
        <v>75951</v>
      </c>
    </row>
    <row r="348" spans="1:13">
      <c r="A348">
        <v>347</v>
      </c>
      <c r="B348" s="65535">
        <v>44928</v>
      </c>
      <c r="C348" t="s">
        <v>26</v>
      </c>
      <c r="D348" t="s">
        <v>45</v>
      </c>
      <c r="E348" t="s">
        <v>24</v>
      </c>
      <c r="F348" t="s">
        <v>25</v>
      </c>
      <c r="G348" t="s">
        <v>22</v>
      </c>
      <c r="H348">
        <v>88</v>
      </c>
      <c r="I348">
        <v>2351</v>
      </c>
      <c r="J348">
        <v>206888</v>
      </c>
      <c r="K348">
        <v>1329</v>
      </c>
      <c r="L348">
        <v>116952</v>
      </c>
      <c r="M348">
        <v>89936</v>
      </c>
    </row>
    <row r="349" spans="1:13">
      <c r="A349">
        <v>348</v>
      </c>
      <c r="B349" s="65535">
        <v>45178</v>
      </c>
      <c r="C349" t="s">
        <v>13</v>
      </c>
      <c r="D349" t="s">
        <v>14</v>
      </c>
      <c r="E349" t="s">
        <v>20</v>
      </c>
      <c r="F349" t="s">
        <v>21</v>
      </c>
      <c r="G349" t="s">
        <v>22</v>
      </c>
      <c r="H349">
        <v>474</v>
      </c>
      <c r="I349">
        <v>2204</v>
      </c>
      <c r="J349">
        <v>1044696</v>
      </c>
      <c r="K349">
        <v>216</v>
      </c>
      <c r="L349">
        <v>102384</v>
      </c>
      <c r="M349">
        <v>942312</v>
      </c>
    </row>
    <row r="350" spans="1:13">
      <c r="A350">
        <v>349</v>
      </c>
      <c r="B350" s="65535">
        <v>45112</v>
      </c>
      <c r="C350" t="s">
        <v>33</v>
      </c>
      <c r="D350" t="s">
        <v>41</v>
      </c>
      <c r="E350" t="s">
        <v>24</v>
      </c>
      <c r="F350" t="s">
        <v>25</v>
      </c>
      <c r="G350" t="s">
        <v>17</v>
      </c>
      <c r="H350">
        <v>307</v>
      </c>
      <c r="I350">
        <v>4136</v>
      </c>
      <c r="J350">
        <v>1269752</v>
      </c>
      <c r="K350">
        <v>2416</v>
      </c>
      <c r="L350">
        <v>741712</v>
      </c>
      <c r="M350">
        <v>528040</v>
      </c>
    </row>
    <row r="351" spans="1:13">
      <c r="A351">
        <v>350</v>
      </c>
      <c r="B351" s="65535">
        <v>45118</v>
      </c>
      <c r="C351" t="s">
        <v>13</v>
      </c>
      <c r="D351" t="s">
        <v>23</v>
      </c>
      <c r="E351" t="s">
        <v>24</v>
      </c>
      <c r="F351" t="s">
        <v>35</v>
      </c>
      <c r="G351" t="s">
        <v>22</v>
      </c>
      <c r="H351">
        <v>272</v>
      </c>
      <c r="I351">
        <v>4912</v>
      </c>
      <c r="J351">
        <v>1336064</v>
      </c>
      <c r="K351">
        <v>243</v>
      </c>
      <c r="L351">
        <v>66096</v>
      </c>
      <c r="M351">
        <v>1269968</v>
      </c>
    </row>
    <row r="352" spans="1:13">
      <c r="A352">
        <v>351</v>
      </c>
      <c r="B352" s="65535">
        <v>45163</v>
      </c>
      <c r="C352" t="s">
        <v>26</v>
      </c>
      <c r="D352" t="s">
        <v>36</v>
      </c>
      <c r="E352" t="s">
        <v>15</v>
      </c>
      <c r="F352" t="s">
        <v>16</v>
      </c>
      <c r="G352" t="s">
        <v>32</v>
      </c>
      <c r="H352">
        <v>459</v>
      </c>
      <c r="I352">
        <v>1309</v>
      </c>
      <c r="J352">
        <v>600831</v>
      </c>
      <c r="K352">
        <v>831</v>
      </c>
      <c r="L352">
        <v>381429</v>
      </c>
      <c r="M352">
        <v>219402</v>
      </c>
    </row>
    <row r="353" spans="1:13">
      <c r="A353">
        <v>352</v>
      </c>
      <c r="B353" s="65535">
        <v>45252</v>
      </c>
      <c r="C353" t="s">
        <v>18</v>
      </c>
      <c r="D353" t="s">
        <v>50</v>
      </c>
      <c r="E353" t="s">
        <v>20</v>
      </c>
      <c r="F353" t="s">
        <v>21</v>
      </c>
      <c r="G353" t="s">
        <v>32</v>
      </c>
      <c r="H353">
        <v>476</v>
      </c>
      <c r="I353">
        <v>3116</v>
      </c>
      <c r="J353">
        <v>1483216</v>
      </c>
      <c r="K353">
        <v>299</v>
      </c>
      <c r="L353">
        <v>142324</v>
      </c>
      <c r="M353">
        <v>1340892</v>
      </c>
    </row>
    <row r="354" spans="1:13">
      <c r="A354">
        <v>353</v>
      </c>
      <c r="B354" s="65535">
        <v>45248</v>
      </c>
      <c r="C354" t="s">
        <v>26</v>
      </c>
      <c r="D354" t="s">
        <v>27</v>
      </c>
      <c r="E354" t="s">
        <v>15</v>
      </c>
      <c r="F354" t="s">
        <v>49</v>
      </c>
      <c r="G354" t="s">
        <v>22</v>
      </c>
      <c r="H354">
        <v>103</v>
      </c>
      <c r="I354">
        <v>974</v>
      </c>
      <c r="J354">
        <v>100322</v>
      </c>
      <c r="K354">
        <v>713</v>
      </c>
      <c r="L354">
        <v>73439</v>
      </c>
      <c r="M354">
        <v>26883</v>
      </c>
    </row>
    <row r="355" spans="1:13">
      <c r="A355">
        <v>354</v>
      </c>
      <c r="B355" s="65535">
        <v>45065</v>
      </c>
      <c r="C355" t="s">
        <v>18</v>
      </c>
      <c r="D355" t="s">
        <v>47</v>
      </c>
      <c r="E355" t="s">
        <v>20</v>
      </c>
      <c r="F355" t="s">
        <v>28</v>
      </c>
      <c r="G355" t="s">
        <v>32</v>
      </c>
      <c r="H355">
        <v>360</v>
      </c>
      <c r="I355">
        <v>3169</v>
      </c>
      <c r="J355">
        <v>1140840</v>
      </c>
      <c r="K355">
        <v>492</v>
      </c>
      <c r="L355">
        <v>177120</v>
      </c>
      <c r="M355">
        <v>963720</v>
      </c>
    </row>
    <row r="356" spans="1:13">
      <c r="A356">
        <v>355</v>
      </c>
      <c r="B356" s="65535">
        <v>45071</v>
      </c>
      <c r="C356" t="s">
        <v>26</v>
      </c>
      <c r="D356" t="s">
        <v>36</v>
      </c>
      <c r="E356" t="s">
        <v>15</v>
      </c>
      <c r="F356" t="s">
        <v>16</v>
      </c>
      <c r="G356" t="s">
        <v>17</v>
      </c>
      <c r="H356">
        <v>200</v>
      </c>
      <c r="I356">
        <v>4172</v>
      </c>
      <c r="J356">
        <v>834400</v>
      </c>
      <c r="K356">
        <v>1787</v>
      </c>
      <c r="L356">
        <v>357400</v>
      </c>
      <c r="M356">
        <v>477000</v>
      </c>
    </row>
    <row r="357" spans="1:13">
      <c r="A357">
        <v>356</v>
      </c>
      <c r="B357" s="65535">
        <v>45184</v>
      </c>
      <c r="C357" t="s">
        <v>26</v>
      </c>
      <c r="D357" t="s">
        <v>36</v>
      </c>
      <c r="E357" t="s">
        <v>15</v>
      </c>
      <c r="F357" t="s">
        <v>16</v>
      </c>
      <c r="G357" t="s">
        <v>22</v>
      </c>
      <c r="H357">
        <v>123</v>
      </c>
      <c r="I357">
        <v>1743</v>
      </c>
      <c r="J357">
        <v>214389</v>
      </c>
      <c r="K357">
        <v>1244</v>
      </c>
      <c r="L357">
        <v>153012</v>
      </c>
      <c r="M357">
        <v>61377</v>
      </c>
    </row>
    <row r="358" spans="1:13">
      <c r="A358">
        <v>357</v>
      </c>
      <c r="B358" s="65535">
        <v>44994</v>
      </c>
      <c r="C358" t="s">
        <v>33</v>
      </c>
      <c r="D358" t="s">
        <v>34</v>
      </c>
      <c r="E358" t="s">
        <v>24</v>
      </c>
      <c r="F358" t="s">
        <v>25</v>
      </c>
      <c r="G358" t="s">
        <v>22</v>
      </c>
      <c r="H358">
        <v>482</v>
      </c>
      <c r="I358">
        <v>342</v>
      </c>
      <c r="J358">
        <v>164844</v>
      </c>
      <c r="K358">
        <v>222</v>
      </c>
      <c r="L358">
        <v>107004</v>
      </c>
      <c r="M358">
        <v>57840</v>
      </c>
    </row>
    <row r="359" spans="1:13">
      <c r="A359">
        <v>358</v>
      </c>
      <c r="B359" s="65535">
        <v>45232</v>
      </c>
      <c r="C359" t="s">
        <v>26</v>
      </c>
      <c r="D359" t="s">
        <v>27</v>
      </c>
      <c r="E359" t="s">
        <v>20</v>
      </c>
      <c r="F359" t="s">
        <v>44</v>
      </c>
      <c r="G359" t="s">
        <v>32</v>
      </c>
      <c r="H359">
        <v>277</v>
      </c>
      <c r="I359">
        <v>3002</v>
      </c>
      <c r="J359">
        <v>831554</v>
      </c>
      <c r="K359">
        <v>805</v>
      </c>
      <c r="L359">
        <v>222985</v>
      </c>
      <c r="M359">
        <v>608569</v>
      </c>
    </row>
    <row r="360" spans="1:13">
      <c r="A360">
        <v>359</v>
      </c>
      <c r="B360" s="65535">
        <v>45282</v>
      </c>
      <c r="C360" t="s">
        <v>26</v>
      </c>
      <c r="D360" t="s">
        <v>51</v>
      </c>
      <c r="E360" t="s">
        <v>15</v>
      </c>
      <c r="F360" t="s">
        <v>16</v>
      </c>
      <c r="G360" t="s">
        <v>22</v>
      </c>
      <c r="H360">
        <v>82</v>
      </c>
      <c r="I360">
        <v>2056</v>
      </c>
      <c r="J360">
        <v>168592</v>
      </c>
      <c r="K360">
        <v>729</v>
      </c>
      <c r="L360">
        <v>59778</v>
      </c>
      <c r="M360">
        <v>108814</v>
      </c>
    </row>
    <row r="361" spans="1:13">
      <c r="A361">
        <v>360</v>
      </c>
      <c r="B361" s="65535">
        <v>45280</v>
      </c>
      <c r="C361" t="s">
        <v>18</v>
      </c>
      <c r="D361" t="s">
        <v>38</v>
      </c>
      <c r="E361" t="s">
        <v>30</v>
      </c>
      <c r="F361" t="s">
        <v>37</v>
      </c>
      <c r="G361" t="s">
        <v>32</v>
      </c>
      <c r="H361">
        <v>400</v>
      </c>
      <c r="I361">
        <v>1115</v>
      </c>
      <c r="J361">
        <v>446000</v>
      </c>
      <c r="K361">
        <v>179</v>
      </c>
      <c r="L361">
        <v>71600</v>
      </c>
      <c r="M361">
        <v>374400</v>
      </c>
    </row>
    <row r="362" spans="1:13">
      <c r="A362">
        <v>361</v>
      </c>
      <c r="B362" s="65535">
        <v>44982</v>
      </c>
      <c r="C362" t="s">
        <v>33</v>
      </c>
      <c r="D362" t="s">
        <v>34</v>
      </c>
      <c r="E362" t="s">
        <v>24</v>
      </c>
      <c r="F362" t="s">
        <v>25</v>
      </c>
      <c r="G362" t="s">
        <v>22</v>
      </c>
      <c r="H362">
        <v>26</v>
      </c>
      <c r="I362">
        <v>4406</v>
      </c>
      <c r="J362">
        <v>114556</v>
      </c>
      <c r="K362">
        <v>585</v>
      </c>
      <c r="L362">
        <v>15210</v>
      </c>
      <c r="M362">
        <v>99346</v>
      </c>
    </row>
    <row r="363" spans="1:13">
      <c r="A363">
        <v>362</v>
      </c>
      <c r="B363" s="65535">
        <v>45081</v>
      </c>
      <c r="C363" t="s">
        <v>13</v>
      </c>
      <c r="D363" t="s">
        <v>14</v>
      </c>
      <c r="E363" t="s">
        <v>20</v>
      </c>
      <c r="F363" t="s">
        <v>44</v>
      </c>
      <c r="G363" t="s">
        <v>22</v>
      </c>
      <c r="H363">
        <v>351</v>
      </c>
      <c r="I363">
        <v>284</v>
      </c>
      <c r="J363">
        <v>99684</v>
      </c>
      <c r="K363">
        <v>124</v>
      </c>
      <c r="L363">
        <v>43524</v>
      </c>
      <c r="M363">
        <v>56160</v>
      </c>
    </row>
    <row r="364" spans="1:13">
      <c r="A364">
        <v>363</v>
      </c>
      <c r="B364" s="65535">
        <v>45106</v>
      </c>
      <c r="C364" t="s">
        <v>33</v>
      </c>
      <c r="D364" t="s">
        <v>46</v>
      </c>
      <c r="E364" t="s">
        <v>30</v>
      </c>
      <c r="F364" t="s">
        <v>37</v>
      </c>
      <c r="G364" t="s">
        <v>17</v>
      </c>
      <c r="H364">
        <v>24</v>
      </c>
      <c r="I364">
        <v>943</v>
      </c>
      <c r="J364">
        <v>22632</v>
      </c>
      <c r="K364">
        <v>249</v>
      </c>
      <c r="L364">
        <v>5976</v>
      </c>
      <c r="M364">
        <v>16656</v>
      </c>
    </row>
    <row r="365" spans="1:13">
      <c r="A365">
        <v>364</v>
      </c>
      <c r="B365" s="65535">
        <v>45240</v>
      </c>
      <c r="C365" t="s">
        <v>26</v>
      </c>
      <c r="D365" t="s">
        <v>27</v>
      </c>
      <c r="E365" t="s">
        <v>20</v>
      </c>
      <c r="F365" t="s">
        <v>44</v>
      </c>
      <c r="G365" t="s">
        <v>17</v>
      </c>
      <c r="H365">
        <v>133</v>
      </c>
      <c r="I365">
        <v>4336</v>
      </c>
      <c r="J365">
        <v>576688</v>
      </c>
      <c r="K365">
        <v>659</v>
      </c>
      <c r="L365">
        <v>87647</v>
      </c>
      <c r="M365">
        <v>489041</v>
      </c>
    </row>
    <row r="366" spans="1:13">
      <c r="A366">
        <v>365</v>
      </c>
      <c r="B366" s="65535">
        <v>45071</v>
      </c>
      <c r="C366" t="s">
        <v>33</v>
      </c>
      <c r="D366" t="s">
        <v>39</v>
      </c>
      <c r="E366" t="s">
        <v>30</v>
      </c>
      <c r="F366" t="s">
        <v>31</v>
      </c>
      <c r="G366" t="s">
        <v>22</v>
      </c>
      <c r="H366">
        <v>97</v>
      </c>
      <c r="I366">
        <v>4600</v>
      </c>
      <c r="J366">
        <v>446200</v>
      </c>
      <c r="K366">
        <v>135</v>
      </c>
      <c r="L366">
        <v>13095</v>
      </c>
      <c r="M366">
        <v>433105</v>
      </c>
    </row>
    <row r="367" spans="1:13">
      <c r="A367">
        <v>366</v>
      </c>
      <c r="B367" s="65535">
        <v>45228</v>
      </c>
      <c r="C367" t="s">
        <v>33</v>
      </c>
      <c r="D367" t="s">
        <v>46</v>
      </c>
      <c r="E367" t="s">
        <v>24</v>
      </c>
      <c r="F367" t="s">
        <v>48</v>
      </c>
      <c r="G367" t="s">
        <v>17</v>
      </c>
      <c r="H367">
        <v>104</v>
      </c>
      <c r="I367">
        <v>3801</v>
      </c>
      <c r="J367">
        <v>395304</v>
      </c>
      <c r="K367">
        <v>2858</v>
      </c>
      <c r="L367">
        <v>297232</v>
      </c>
      <c r="M367">
        <v>98072</v>
      </c>
    </row>
    <row r="368" spans="1:13">
      <c r="A368">
        <v>367</v>
      </c>
      <c r="B368" s="65535">
        <v>45036</v>
      </c>
      <c r="C368" t="s">
        <v>33</v>
      </c>
      <c r="D368" t="s">
        <v>46</v>
      </c>
      <c r="E368" t="s">
        <v>20</v>
      </c>
      <c r="F368" t="s">
        <v>21</v>
      </c>
      <c r="G368" t="s">
        <v>32</v>
      </c>
      <c r="H368">
        <v>273</v>
      </c>
      <c r="I368">
        <v>2064</v>
      </c>
      <c r="J368">
        <v>563472</v>
      </c>
      <c r="K368">
        <v>934</v>
      </c>
      <c r="L368">
        <v>254982</v>
      </c>
      <c r="M368">
        <v>308490</v>
      </c>
    </row>
    <row r="369" spans="1:13">
      <c r="A369">
        <v>368</v>
      </c>
      <c r="B369" s="65535">
        <v>45193</v>
      </c>
      <c r="C369" t="s">
        <v>33</v>
      </c>
      <c r="D369" t="s">
        <v>41</v>
      </c>
      <c r="E369" t="s">
        <v>15</v>
      </c>
      <c r="F369" t="s">
        <v>29</v>
      </c>
      <c r="G369" t="s">
        <v>22</v>
      </c>
      <c r="H369">
        <v>79</v>
      </c>
      <c r="I369">
        <v>4261</v>
      </c>
      <c r="J369">
        <v>336619</v>
      </c>
      <c r="K369">
        <v>3059</v>
      </c>
      <c r="L369">
        <v>241661</v>
      </c>
      <c r="M369">
        <v>94958</v>
      </c>
    </row>
    <row r="370" spans="1:13">
      <c r="A370">
        <v>369</v>
      </c>
      <c r="B370" s="65535">
        <v>44986</v>
      </c>
      <c r="C370" t="s">
        <v>26</v>
      </c>
      <c r="D370" t="s">
        <v>51</v>
      </c>
      <c r="E370" t="s">
        <v>15</v>
      </c>
      <c r="F370" t="s">
        <v>29</v>
      </c>
      <c r="G370" t="s">
        <v>32</v>
      </c>
      <c r="H370">
        <v>207</v>
      </c>
      <c r="I370">
        <v>2523</v>
      </c>
      <c r="J370">
        <v>522261</v>
      </c>
      <c r="K370">
        <v>1971</v>
      </c>
      <c r="L370">
        <v>407997</v>
      </c>
      <c r="M370">
        <v>114264</v>
      </c>
    </row>
    <row r="371" spans="1:13">
      <c r="A371">
        <v>370</v>
      </c>
      <c r="B371" s="65535">
        <v>45075</v>
      </c>
      <c r="C371" t="s">
        <v>26</v>
      </c>
      <c r="D371" t="s">
        <v>45</v>
      </c>
      <c r="E371" t="s">
        <v>30</v>
      </c>
      <c r="F371" t="s">
        <v>31</v>
      </c>
      <c r="G371" t="s">
        <v>32</v>
      </c>
      <c r="H371">
        <v>447</v>
      </c>
      <c r="I371">
        <v>3705</v>
      </c>
      <c r="J371">
        <v>1656135</v>
      </c>
      <c r="K371">
        <v>873</v>
      </c>
      <c r="L371">
        <v>390231</v>
      </c>
      <c r="M371">
        <v>1265904</v>
      </c>
    </row>
    <row r="372" spans="1:13">
      <c r="A372">
        <v>371</v>
      </c>
      <c r="B372" s="65535">
        <v>45272</v>
      </c>
      <c r="C372" t="s">
        <v>33</v>
      </c>
      <c r="D372" t="s">
        <v>34</v>
      </c>
      <c r="E372" t="s">
        <v>20</v>
      </c>
      <c r="F372" t="s">
        <v>44</v>
      </c>
      <c r="G372" t="s">
        <v>22</v>
      </c>
      <c r="H372">
        <v>261</v>
      </c>
      <c r="I372">
        <v>1061</v>
      </c>
      <c r="J372">
        <v>276921</v>
      </c>
      <c r="K372">
        <v>505</v>
      </c>
      <c r="L372">
        <v>131805</v>
      </c>
      <c r="M372">
        <v>145116</v>
      </c>
    </row>
    <row r="373" spans="1:13">
      <c r="A373">
        <v>372</v>
      </c>
      <c r="B373" s="65535">
        <v>45132</v>
      </c>
      <c r="C373" t="s">
        <v>13</v>
      </c>
      <c r="D373" t="s">
        <v>14</v>
      </c>
      <c r="E373" t="s">
        <v>15</v>
      </c>
      <c r="F373" t="s">
        <v>16</v>
      </c>
      <c r="G373" t="s">
        <v>32</v>
      </c>
      <c r="H373">
        <v>365</v>
      </c>
      <c r="I373">
        <v>1033</v>
      </c>
      <c r="J373">
        <v>377045</v>
      </c>
      <c r="K373">
        <v>859</v>
      </c>
      <c r="L373">
        <v>313535</v>
      </c>
      <c r="M373">
        <v>63510</v>
      </c>
    </row>
    <row r="374" spans="1:13">
      <c r="A374">
        <v>373</v>
      </c>
      <c r="B374" s="65535">
        <v>45029</v>
      </c>
      <c r="C374" t="s">
        <v>18</v>
      </c>
      <c r="D374" t="s">
        <v>50</v>
      </c>
      <c r="E374" t="s">
        <v>20</v>
      </c>
      <c r="F374" t="s">
        <v>44</v>
      </c>
      <c r="G374" t="s">
        <v>32</v>
      </c>
      <c r="H374">
        <v>314</v>
      </c>
      <c r="I374">
        <v>3511</v>
      </c>
      <c r="J374">
        <v>1102454</v>
      </c>
      <c r="K374">
        <v>602</v>
      </c>
      <c r="L374">
        <v>189028</v>
      </c>
      <c r="M374">
        <v>913426</v>
      </c>
    </row>
    <row r="375" spans="1:13">
      <c r="A375">
        <v>374</v>
      </c>
      <c r="B375" s="65535">
        <v>45224</v>
      </c>
      <c r="C375" t="s">
        <v>18</v>
      </c>
      <c r="D375" t="s">
        <v>19</v>
      </c>
      <c r="E375" t="s">
        <v>24</v>
      </c>
      <c r="F375" t="s">
        <v>48</v>
      </c>
      <c r="G375" t="s">
        <v>17</v>
      </c>
      <c r="H375">
        <v>313</v>
      </c>
      <c r="I375">
        <v>2436</v>
      </c>
      <c r="J375">
        <v>762468</v>
      </c>
      <c r="K375">
        <v>1739</v>
      </c>
      <c r="L375">
        <v>544307</v>
      </c>
      <c r="M375">
        <v>218161</v>
      </c>
    </row>
    <row r="376" spans="1:13">
      <c r="A376">
        <v>375</v>
      </c>
      <c r="B376" s="65535">
        <v>45069</v>
      </c>
      <c r="C376" t="s">
        <v>26</v>
      </c>
      <c r="D376" t="s">
        <v>45</v>
      </c>
      <c r="E376" t="s">
        <v>24</v>
      </c>
      <c r="F376" t="s">
        <v>48</v>
      </c>
      <c r="G376" t="s">
        <v>17</v>
      </c>
      <c r="H376">
        <v>85</v>
      </c>
      <c r="I376">
        <v>3924</v>
      </c>
      <c r="J376">
        <v>333540</v>
      </c>
      <c r="K376">
        <v>542</v>
      </c>
      <c r="L376">
        <v>46070</v>
      </c>
      <c r="M376">
        <v>287470</v>
      </c>
    </row>
    <row r="377" spans="1:13">
      <c r="A377">
        <v>376</v>
      </c>
      <c r="B377" s="65535">
        <v>45248</v>
      </c>
      <c r="C377" t="s">
        <v>33</v>
      </c>
      <c r="D377" t="s">
        <v>41</v>
      </c>
      <c r="E377" t="s">
        <v>24</v>
      </c>
      <c r="F377" t="s">
        <v>48</v>
      </c>
      <c r="G377" t="s">
        <v>22</v>
      </c>
      <c r="H377">
        <v>492</v>
      </c>
      <c r="I377">
        <v>1302</v>
      </c>
      <c r="J377">
        <v>640584</v>
      </c>
      <c r="K377">
        <v>160</v>
      </c>
      <c r="L377">
        <v>78720</v>
      </c>
      <c r="M377">
        <v>561864</v>
      </c>
    </row>
    <row r="378" spans="1:13">
      <c r="A378">
        <v>377</v>
      </c>
      <c r="B378" s="65535">
        <v>44940</v>
      </c>
      <c r="C378" t="s">
        <v>33</v>
      </c>
      <c r="D378" t="s">
        <v>39</v>
      </c>
      <c r="E378" t="s">
        <v>15</v>
      </c>
      <c r="F378" t="s">
        <v>29</v>
      </c>
      <c r="G378" t="s">
        <v>17</v>
      </c>
      <c r="H378">
        <v>101</v>
      </c>
      <c r="I378">
        <v>3334</v>
      </c>
      <c r="J378">
        <v>336734</v>
      </c>
      <c r="K378">
        <v>2576</v>
      </c>
      <c r="L378">
        <v>260176</v>
      </c>
      <c r="M378">
        <v>76558</v>
      </c>
    </row>
    <row r="379" spans="1:13">
      <c r="A379">
        <v>378</v>
      </c>
      <c r="B379" s="65535">
        <v>44976</v>
      </c>
      <c r="C379" t="s">
        <v>26</v>
      </c>
      <c r="D379" t="s">
        <v>36</v>
      </c>
      <c r="E379" t="s">
        <v>20</v>
      </c>
      <c r="F379" t="s">
        <v>28</v>
      </c>
      <c r="G379" t="s">
        <v>17</v>
      </c>
      <c r="H379">
        <v>399</v>
      </c>
      <c r="I379">
        <v>826</v>
      </c>
      <c r="J379">
        <v>329574</v>
      </c>
      <c r="K379">
        <v>776</v>
      </c>
      <c r="L379">
        <v>309624</v>
      </c>
      <c r="M379">
        <v>19950</v>
      </c>
    </row>
    <row r="380" spans="1:13">
      <c r="A380">
        <v>379</v>
      </c>
      <c r="B380" s="65535">
        <v>45181</v>
      </c>
      <c r="C380" t="s">
        <v>13</v>
      </c>
      <c r="D380" t="s">
        <v>42</v>
      </c>
      <c r="E380" t="s">
        <v>30</v>
      </c>
      <c r="F380" t="s">
        <v>40</v>
      </c>
      <c r="G380" t="s">
        <v>17</v>
      </c>
      <c r="H380">
        <v>261</v>
      </c>
      <c r="I380">
        <v>4335</v>
      </c>
      <c r="J380">
        <v>1131435</v>
      </c>
      <c r="K380">
        <v>2243</v>
      </c>
      <c r="L380">
        <v>585423</v>
      </c>
      <c r="M380">
        <v>546012</v>
      </c>
    </row>
    <row r="381" spans="1:13">
      <c r="A381">
        <v>380</v>
      </c>
      <c r="B381" s="65535">
        <v>45123</v>
      </c>
      <c r="C381" t="s">
        <v>26</v>
      </c>
      <c r="D381" t="s">
        <v>51</v>
      </c>
      <c r="E381" t="s">
        <v>15</v>
      </c>
      <c r="F381" t="s">
        <v>29</v>
      </c>
      <c r="G381" t="s">
        <v>22</v>
      </c>
      <c r="H381">
        <v>240</v>
      </c>
      <c r="I381">
        <v>2776</v>
      </c>
      <c r="J381">
        <v>666240</v>
      </c>
      <c r="K381">
        <v>1641</v>
      </c>
      <c r="L381">
        <v>393840</v>
      </c>
      <c r="M381">
        <v>272400</v>
      </c>
    </row>
    <row r="382" spans="1:13">
      <c r="A382">
        <v>381</v>
      </c>
      <c r="B382" s="65535">
        <v>45212</v>
      </c>
      <c r="C382" t="s">
        <v>13</v>
      </c>
      <c r="D382" t="s">
        <v>42</v>
      </c>
      <c r="E382" t="s">
        <v>15</v>
      </c>
      <c r="F382" t="s">
        <v>16</v>
      </c>
      <c r="G382" t="s">
        <v>22</v>
      </c>
      <c r="H382">
        <v>347</v>
      </c>
      <c r="I382">
        <v>2682</v>
      </c>
      <c r="J382">
        <v>930654</v>
      </c>
      <c r="K382">
        <v>772</v>
      </c>
      <c r="L382">
        <v>267884</v>
      </c>
      <c r="M382">
        <v>662770</v>
      </c>
    </row>
    <row r="383" spans="1:13">
      <c r="A383">
        <v>382</v>
      </c>
      <c r="B383" s="65535">
        <v>45126</v>
      </c>
      <c r="C383" t="s">
        <v>13</v>
      </c>
      <c r="D383" t="s">
        <v>42</v>
      </c>
      <c r="E383" t="s">
        <v>30</v>
      </c>
      <c r="F383" t="s">
        <v>40</v>
      </c>
      <c r="G383" t="s">
        <v>17</v>
      </c>
      <c r="H383">
        <v>259</v>
      </c>
      <c r="I383">
        <v>1096</v>
      </c>
      <c r="J383">
        <v>283864</v>
      </c>
      <c r="K383">
        <v>682</v>
      </c>
      <c r="L383">
        <v>176638</v>
      </c>
      <c r="M383">
        <v>107226</v>
      </c>
    </row>
    <row r="384" spans="1:13">
      <c r="A384">
        <v>383</v>
      </c>
      <c r="B384" s="65535">
        <v>45186</v>
      </c>
      <c r="C384" t="s">
        <v>13</v>
      </c>
      <c r="D384" t="s">
        <v>42</v>
      </c>
      <c r="E384" t="s">
        <v>24</v>
      </c>
      <c r="F384" t="s">
        <v>35</v>
      </c>
      <c r="G384" t="s">
        <v>22</v>
      </c>
      <c r="H384">
        <v>38</v>
      </c>
      <c r="I384">
        <v>3406</v>
      </c>
      <c r="J384">
        <v>129428</v>
      </c>
      <c r="K384">
        <v>1178</v>
      </c>
      <c r="L384">
        <v>44764</v>
      </c>
      <c r="M384">
        <v>84664</v>
      </c>
    </row>
    <row r="385" spans="1:13">
      <c r="A385">
        <v>384</v>
      </c>
      <c r="B385" s="65535">
        <v>44958</v>
      </c>
      <c r="C385" t="s">
        <v>13</v>
      </c>
      <c r="D385" t="s">
        <v>42</v>
      </c>
      <c r="E385" t="s">
        <v>20</v>
      </c>
      <c r="F385" t="s">
        <v>21</v>
      </c>
      <c r="G385" t="s">
        <v>32</v>
      </c>
      <c r="H385">
        <v>24</v>
      </c>
      <c r="I385">
        <v>569</v>
      </c>
      <c r="J385">
        <v>13656</v>
      </c>
      <c r="K385">
        <v>165</v>
      </c>
      <c r="L385">
        <v>3960</v>
      </c>
      <c r="M385">
        <v>9696</v>
      </c>
    </row>
    <row r="386" spans="1:13">
      <c r="A386">
        <v>385</v>
      </c>
      <c r="B386" s="65535">
        <v>45121</v>
      </c>
      <c r="C386" t="s">
        <v>26</v>
      </c>
      <c r="D386" t="s">
        <v>27</v>
      </c>
      <c r="E386" t="s">
        <v>15</v>
      </c>
      <c r="F386" t="s">
        <v>49</v>
      </c>
      <c r="G386" t="s">
        <v>32</v>
      </c>
      <c r="H386">
        <v>59</v>
      </c>
      <c r="I386">
        <v>3707</v>
      </c>
      <c r="J386">
        <v>218713</v>
      </c>
      <c r="K386">
        <v>1513</v>
      </c>
      <c r="L386">
        <v>89267</v>
      </c>
      <c r="M386">
        <v>129446</v>
      </c>
    </row>
    <row r="387" spans="1:13">
      <c r="A387">
        <v>386</v>
      </c>
      <c r="B387" s="65535">
        <v>45052</v>
      </c>
      <c r="C387" t="s">
        <v>26</v>
      </c>
      <c r="D387" t="s">
        <v>45</v>
      </c>
      <c r="E387" t="s">
        <v>20</v>
      </c>
      <c r="F387" t="s">
        <v>44</v>
      </c>
      <c r="G387" t="s">
        <v>17</v>
      </c>
      <c r="H387">
        <v>136</v>
      </c>
      <c r="I387">
        <v>2122</v>
      </c>
      <c r="J387">
        <v>288592</v>
      </c>
      <c r="K387">
        <v>1427</v>
      </c>
      <c r="L387">
        <v>194072</v>
      </c>
      <c r="M387">
        <v>94520</v>
      </c>
    </row>
    <row r="388" spans="1:13">
      <c r="A388">
        <v>387</v>
      </c>
      <c r="B388" s="65535">
        <v>45099</v>
      </c>
      <c r="C388" t="s">
        <v>26</v>
      </c>
      <c r="D388" t="s">
        <v>51</v>
      </c>
      <c r="E388" t="s">
        <v>15</v>
      </c>
      <c r="F388" t="s">
        <v>29</v>
      </c>
      <c r="G388" t="s">
        <v>22</v>
      </c>
      <c r="H388">
        <v>96</v>
      </c>
      <c r="I388">
        <v>361</v>
      </c>
      <c r="J388">
        <v>34656</v>
      </c>
      <c r="K388">
        <v>237</v>
      </c>
      <c r="L388">
        <v>22752</v>
      </c>
      <c r="M388">
        <v>11904</v>
      </c>
    </row>
    <row r="389" spans="1:13">
      <c r="A389">
        <v>388</v>
      </c>
      <c r="B389" s="65535">
        <v>45217</v>
      </c>
      <c r="C389" t="s">
        <v>26</v>
      </c>
      <c r="D389" t="s">
        <v>51</v>
      </c>
      <c r="E389" t="s">
        <v>24</v>
      </c>
      <c r="F389" t="s">
        <v>35</v>
      </c>
      <c r="G389" t="s">
        <v>32</v>
      </c>
      <c r="H389">
        <v>273</v>
      </c>
      <c r="I389">
        <v>3650</v>
      </c>
      <c r="J389">
        <v>996450</v>
      </c>
      <c r="K389">
        <v>1192</v>
      </c>
      <c r="L389">
        <v>325416</v>
      </c>
      <c r="M389">
        <v>671034</v>
      </c>
    </row>
    <row r="390" spans="1:13">
      <c r="A390">
        <v>389</v>
      </c>
      <c r="B390" s="65535">
        <v>45219</v>
      </c>
      <c r="C390" t="s">
        <v>33</v>
      </c>
      <c r="D390" t="s">
        <v>34</v>
      </c>
      <c r="E390" t="s">
        <v>15</v>
      </c>
      <c r="F390" t="s">
        <v>29</v>
      </c>
      <c r="G390" t="s">
        <v>32</v>
      </c>
      <c r="H390">
        <v>209</v>
      </c>
      <c r="I390">
        <v>2841</v>
      </c>
      <c r="J390">
        <v>593769</v>
      </c>
      <c r="K390">
        <v>2445</v>
      </c>
      <c r="L390">
        <v>511005</v>
      </c>
      <c r="M390">
        <v>82764</v>
      </c>
    </row>
    <row r="391" spans="1:13">
      <c r="A391">
        <v>390</v>
      </c>
      <c r="B391" s="65535">
        <v>45032</v>
      </c>
      <c r="C391" t="s">
        <v>33</v>
      </c>
      <c r="D391" t="s">
        <v>34</v>
      </c>
      <c r="E391" t="s">
        <v>15</v>
      </c>
      <c r="F391" t="s">
        <v>49</v>
      </c>
      <c r="G391" t="s">
        <v>17</v>
      </c>
      <c r="H391">
        <v>182</v>
      </c>
      <c r="I391">
        <v>4269</v>
      </c>
      <c r="J391">
        <v>776958</v>
      </c>
      <c r="K391">
        <v>4218</v>
      </c>
      <c r="L391">
        <v>767676</v>
      </c>
      <c r="M391">
        <v>9282</v>
      </c>
    </row>
    <row r="392" spans="1:13">
      <c r="A392">
        <v>391</v>
      </c>
      <c r="B392" s="65535">
        <v>45030</v>
      </c>
      <c r="C392" t="s">
        <v>26</v>
      </c>
      <c r="D392" t="s">
        <v>36</v>
      </c>
      <c r="E392" t="s">
        <v>20</v>
      </c>
      <c r="F392" t="s">
        <v>21</v>
      </c>
      <c r="G392" t="s">
        <v>32</v>
      </c>
      <c r="H392">
        <v>264</v>
      </c>
      <c r="I392">
        <v>817</v>
      </c>
      <c r="J392">
        <v>215688</v>
      </c>
      <c r="K392">
        <v>648</v>
      </c>
      <c r="L392">
        <v>171072</v>
      </c>
      <c r="M392">
        <v>44616</v>
      </c>
    </row>
    <row r="393" spans="1:13">
      <c r="A393">
        <v>392</v>
      </c>
      <c r="B393" s="65535">
        <v>45220</v>
      </c>
      <c r="C393" t="s">
        <v>18</v>
      </c>
      <c r="D393" t="s">
        <v>47</v>
      </c>
      <c r="E393" t="s">
        <v>20</v>
      </c>
      <c r="F393" t="s">
        <v>44</v>
      </c>
      <c r="G393" t="s">
        <v>32</v>
      </c>
      <c r="H393">
        <v>215</v>
      </c>
      <c r="I393">
        <v>2050</v>
      </c>
      <c r="J393">
        <v>440750</v>
      </c>
      <c r="K393">
        <v>1379</v>
      </c>
      <c r="L393">
        <v>296485</v>
      </c>
      <c r="M393">
        <v>144265</v>
      </c>
    </row>
    <row r="394" spans="1:13">
      <c r="A394">
        <v>393</v>
      </c>
      <c r="B394" s="65535">
        <v>45217</v>
      </c>
      <c r="C394" t="s">
        <v>33</v>
      </c>
      <c r="D394" t="s">
        <v>39</v>
      </c>
      <c r="E394" t="s">
        <v>20</v>
      </c>
      <c r="F394" t="s">
        <v>21</v>
      </c>
      <c r="G394" t="s">
        <v>22</v>
      </c>
      <c r="H394">
        <v>420</v>
      </c>
      <c r="I394">
        <v>4550</v>
      </c>
      <c r="J394">
        <v>1911000</v>
      </c>
      <c r="K394">
        <v>3993</v>
      </c>
      <c r="L394">
        <v>1677060</v>
      </c>
      <c r="M394">
        <v>233940</v>
      </c>
    </row>
    <row r="395" spans="1:13">
      <c r="A395">
        <v>394</v>
      </c>
      <c r="B395" s="65535">
        <v>45081</v>
      </c>
      <c r="C395" t="s">
        <v>13</v>
      </c>
      <c r="D395" t="s">
        <v>43</v>
      </c>
      <c r="E395" t="s">
        <v>20</v>
      </c>
      <c r="F395" t="s">
        <v>44</v>
      </c>
      <c r="G395" t="s">
        <v>17</v>
      </c>
      <c r="H395">
        <v>268</v>
      </c>
      <c r="I395">
        <v>2656</v>
      </c>
      <c r="J395">
        <v>711808</v>
      </c>
      <c r="K395">
        <v>1873</v>
      </c>
      <c r="L395">
        <v>501964</v>
      </c>
      <c r="M395">
        <v>209844</v>
      </c>
    </row>
    <row r="396" spans="1:13">
      <c r="A396">
        <v>395</v>
      </c>
      <c r="B396" s="65535">
        <v>45246</v>
      </c>
      <c r="C396" t="s">
        <v>26</v>
      </c>
      <c r="D396" t="s">
        <v>36</v>
      </c>
      <c r="E396" t="s">
        <v>24</v>
      </c>
      <c r="F396" t="s">
        <v>48</v>
      </c>
      <c r="G396" t="s">
        <v>32</v>
      </c>
      <c r="H396">
        <v>273</v>
      </c>
      <c r="I396">
        <v>3912</v>
      </c>
      <c r="J396">
        <v>1067976</v>
      </c>
      <c r="K396">
        <v>2850</v>
      </c>
      <c r="L396">
        <v>778050</v>
      </c>
      <c r="M396">
        <v>289926</v>
      </c>
    </row>
    <row r="397" spans="1:13">
      <c r="A397">
        <v>396</v>
      </c>
      <c r="B397" s="65535">
        <v>45036</v>
      </c>
      <c r="C397" t="s">
        <v>18</v>
      </c>
      <c r="D397" t="s">
        <v>50</v>
      </c>
      <c r="E397" t="s">
        <v>30</v>
      </c>
      <c r="F397" t="s">
        <v>31</v>
      </c>
      <c r="G397" t="s">
        <v>32</v>
      </c>
      <c r="H397">
        <v>348</v>
      </c>
      <c r="I397">
        <v>4028</v>
      </c>
      <c r="J397">
        <v>1401744</v>
      </c>
      <c r="K397">
        <v>1197</v>
      </c>
      <c r="L397">
        <v>416556</v>
      </c>
      <c r="M397">
        <v>985188</v>
      </c>
    </row>
    <row r="398" spans="1:13">
      <c r="A398">
        <v>397</v>
      </c>
      <c r="B398" s="65535">
        <v>45002</v>
      </c>
      <c r="C398" t="s">
        <v>13</v>
      </c>
      <c r="D398" t="s">
        <v>14</v>
      </c>
      <c r="E398" t="s">
        <v>30</v>
      </c>
      <c r="F398" t="s">
        <v>40</v>
      </c>
      <c r="G398" t="s">
        <v>32</v>
      </c>
      <c r="H398">
        <v>133</v>
      </c>
      <c r="I398">
        <v>1432</v>
      </c>
      <c r="J398">
        <v>190456</v>
      </c>
      <c r="K398">
        <v>714</v>
      </c>
      <c r="L398">
        <v>94962</v>
      </c>
      <c r="M398">
        <v>95494</v>
      </c>
    </row>
    <row r="399" spans="1:13">
      <c r="A399">
        <v>398</v>
      </c>
      <c r="B399" s="65535">
        <v>45031</v>
      </c>
      <c r="C399" t="s">
        <v>13</v>
      </c>
      <c r="D399" t="s">
        <v>42</v>
      </c>
      <c r="E399" t="s">
        <v>20</v>
      </c>
      <c r="F399" t="s">
        <v>44</v>
      </c>
      <c r="G399" t="s">
        <v>17</v>
      </c>
      <c r="H399">
        <v>443</v>
      </c>
      <c r="I399">
        <v>3578</v>
      </c>
      <c r="J399">
        <v>1585054</v>
      </c>
      <c r="K399">
        <v>1193</v>
      </c>
      <c r="L399">
        <v>528499</v>
      </c>
      <c r="M399">
        <v>1056555</v>
      </c>
    </row>
    <row r="400" spans="1:13">
      <c r="A400">
        <v>399</v>
      </c>
      <c r="B400" s="65535">
        <v>45047</v>
      </c>
      <c r="C400" t="s">
        <v>26</v>
      </c>
      <c r="D400" t="s">
        <v>36</v>
      </c>
      <c r="E400" t="s">
        <v>20</v>
      </c>
      <c r="F400" t="s">
        <v>28</v>
      </c>
      <c r="G400" t="s">
        <v>17</v>
      </c>
      <c r="H400">
        <v>217</v>
      </c>
      <c r="I400">
        <v>2153</v>
      </c>
      <c r="J400">
        <v>467201</v>
      </c>
      <c r="K400">
        <v>332</v>
      </c>
      <c r="L400">
        <v>72044</v>
      </c>
      <c r="M400">
        <v>395157</v>
      </c>
    </row>
    <row r="401" spans="1:13">
      <c r="A401">
        <v>400</v>
      </c>
      <c r="B401" s="65535">
        <v>45164</v>
      </c>
      <c r="C401" t="s">
        <v>18</v>
      </c>
      <c r="D401" t="s">
        <v>38</v>
      </c>
      <c r="E401" t="s">
        <v>15</v>
      </c>
      <c r="F401" t="s">
        <v>16</v>
      </c>
      <c r="G401" t="s">
        <v>32</v>
      </c>
      <c r="H401">
        <v>258</v>
      </c>
      <c r="I401">
        <v>4786</v>
      </c>
      <c r="J401">
        <v>1234788</v>
      </c>
      <c r="K401">
        <v>3672</v>
      </c>
      <c r="L401">
        <v>947376</v>
      </c>
      <c r="M401">
        <v>287412</v>
      </c>
    </row>
    <row r="402" spans="1:13">
      <c r="A402">
        <v>401</v>
      </c>
      <c r="B402" s="65535">
        <v>44996</v>
      </c>
      <c r="C402" t="s">
        <v>13</v>
      </c>
      <c r="D402" t="s">
        <v>14</v>
      </c>
      <c r="E402" t="s">
        <v>30</v>
      </c>
      <c r="F402" t="s">
        <v>37</v>
      </c>
      <c r="G402" t="s">
        <v>32</v>
      </c>
      <c r="H402">
        <v>24</v>
      </c>
      <c r="I402">
        <v>2316</v>
      </c>
      <c r="J402">
        <v>55584</v>
      </c>
      <c r="K402">
        <v>1237</v>
      </c>
      <c r="L402">
        <v>29688</v>
      </c>
      <c r="M402">
        <v>25896</v>
      </c>
    </row>
    <row r="403" spans="1:13">
      <c r="A403">
        <v>402</v>
      </c>
      <c r="B403" s="65535">
        <v>44969</v>
      </c>
      <c r="C403" t="s">
        <v>18</v>
      </c>
      <c r="D403" t="s">
        <v>50</v>
      </c>
      <c r="E403" t="s">
        <v>24</v>
      </c>
      <c r="F403" t="s">
        <v>25</v>
      </c>
      <c r="G403" t="s">
        <v>22</v>
      </c>
      <c r="H403">
        <v>170</v>
      </c>
      <c r="I403">
        <v>2641</v>
      </c>
      <c r="J403">
        <v>448970</v>
      </c>
      <c r="K403">
        <v>360</v>
      </c>
      <c r="L403">
        <v>61200</v>
      </c>
      <c r="M403">
        <v>387770</v>
      </c>
    </row>
    <row r="404" spans="1:13">
      <c r="A404">
        <v>403</v>
      </c>
      <c r="B404" s="65535">
        <v>44998</v>
      </c>
      <c r="C404" t="s">
        <v>13</v>
      </c>
      <c r="D404" t="s">
        <v>23</v>
      </c>
      <c r="E404" t="s">
        <v>15</v>
      </c>
      <c r="F404" t="s">
        <v>29</v>
      </c>
      <c r="G404" t="s">
        <v>17</v>
      </c>
      <c r="H404">
        <v>130</v>
      </c>
      <c r="I404">
        <v>1116</v>
      </c>
      <c r="J404">
        <v>145080</v>
      </c>
      <c r="K404">
        <v>684</v>
      </c>
      <c r="L404">
        <v>88920</v>
      </c>
      <c r="M404">
        <v>56160</v>
      </c>
    </row>
    <row r="405" spans="1:13">
      <c r="A405">
        <v>404</v>
      </c>
      <c r="B405" s="65535">
        <v>45234</v>
      </c>
      <c r="C405" t="s">
        <v>33</v>
      </c>
      <c r="D405" t="s">
        <v>41</v>
      </c>
      <c r="E405" t="s">
        <v>24</v>
      </c>
      <c r="F405" t="s">
        <v>25</v>
      </c>
      <c r="G405" t="s">
        <v>22</v>
      </c>
      <c r="H405">
        <v>72</v>
      </c>
      <c r="I405">
        <v>2767</v>
      </c>
      <c r="J405">
        <v>199224</v>
      </c>
      <c r="K405">
        <v>1448</v>
      </c>
      <c r="L405">
        <v>104256</v>
      </c>
      <c r="M405">
        <v>94968</v>
      </c>
    </row>
    <row r="406" spans="1:13">
      <c r="A406">
        <v>405</v>
      </c>
      <c r="B406" s="65535">
        <v>44981</v>
      </c>
      <c r="C406" t="s">
        <v>13</v>
      </c>
      <c r="D406" t="s">
        <v>43</v>
      </c>
      <c r="E406" t="s">
        <v>24</v>
      </c>
      <c r="F406" t="s">
        <v>25</v>
      </c>
      <c r="G406" t="s">
        <v>22</v>
      </c>
      <c r="H406">
        <v>99</v>
      </c>
      <c r="I406">
        <v>1953</v>
      </c>
      <c r="J406">
        <v>193347</v>
      </c>
      <c r="K406">
        <v>662</v>
      </c>
      <c r="L406">
        <v>65538</v>
      </c>
      <c r="M406">
        <v>127809</v>
      </c>
    </row>
    <row r="407" spans="1:13">
      <c r="A407">
        <v>406</v>
      </c>
      <c r="B407" s="65535">
        <v>45178</v>
      </c>
      <c r="C407" t="s">
        <v>13</v>
      </c>
      <c r="D407" t="s">
        <v>42</v>
      </c>
      <c r="E407" t="s">
        <v>20</v>
      </c>
      <c r="F407" t="s">
        <v>28</v>
      </c>
      <c r="G407" t="s">
        <v>22</v>
      </c>
      <c r="H407">
        <v>283</v>
      </c>
      <c r="I407">
        <v>3269</v>
      </c>
      <c r="J407">
        <v>925127</v>
      </c>
      <c r="K407">
        <v>2965</v>
      </c>
      <c r="L407">
        <v>839095</v>
      </c>
      <c r="M407">
        <v>86032</v>
      </c>
    </row>
    <row r="408" spans="1:13">
      <c r="A408">
        <v>407</v>
      </c>
      <c r="B408" s="65535">
        <v>45053</v>
      </c>
      <c r="C408" t="s">
        <v>33</v>
      </c>
      <c r="D408" t="s">
        <v>41</v>
      </c>
      <c r="E408" t="s">
        <v>24</v>
      </c>
      <c r="F408" t="s">
        <v>48</v>
      </c>
      <c r="G408" t="s">
        <v>17</v>
      </c>
      <c r="H408">
        <v>152</v>
      </c>
      <c r="I408">
        <v>1387</v>
      </c>
      <c r="J408">
        <v>210824</v>
      </c>
      <c r="K408">
        <v>843</v>
      </c>
      <c r="L408">
        <v>128136</v>
      </c>
      <c r="M408">
        <v>82688</v>
      </c>
    </row>
    <row r="409" spans="1:13">
      <c r="A409">
        <v>408</v>
      </c>
      <c r="B409" s="65535">
        <v>45237</v>
      </c>
      <c r="C409" t="s">
        <v>13</v>
      </c>
      <c r="D409" t="s">
        <v>23</v>
      </c>
      <c r="E409" t="s">
        <v>20</v>
      </c>
      <c r="F409" t="s">
        <v>44</v>
      </c>
      <c r="G409" t="s">
        <v>17</v>
      </c>
      <c r="H409">
        <v>27</v>
      </c>
      <c r="I409">
        <v>647</v>
      </c>
      <c r="J409">
        <v>17469</v>
      </c>
      <c r="K409">
        <v>453</v>
      </c>
      <c r="L409">
        <v>12231</v>
      </c>
      <c r="M409">
        <v>5238</v>
      </c>
    </row>
    <row r="410" spans="1:13">
      <c r="A410">
        <v>409</v>
      </c>
      <c r="B410" s="65535">
        <v>45285</v>
      </c>
      <c r="C410" t="s">
        <v>18</v>
      </c>
      <c r="D410" t="s">
        <v>47</v>
      </c>
      <c r="E410" t="s">
        <v>24</v>
      </c>
      <c r="F410" t="s">
        <v>48</v>
      </c>
      <c r="G410" t="s">
        <v>17</v>
      </c>
      <c r="H410">
        <v>195</v>
      </c>
      <c r="I410">
        <v>1199</v>
      </c>
      <c r="J410">
        <v>233805</v>
      </c>
      <c r="K410">
        <v>584</v>
      </c>
      <c r="L410">
        <v>113880</v>
      </c>
      <c r="M410">
        <v>119925</v>
      </c>
    </row>
    <row r="411" spans="1:13">
      <c r="A411">
        <v>410</v>
      </c>
      <c r="B411" s="65535">
        <v>45081</v>
      </c>
      <c r="C411" t="s">
        <v>13</v>
      </c>
      <c r="D411" t="s">
        <v>42</v>
      </c>
      <c r="E411" t="s">
        <v>15</v>
      </c>
      <c r="F411" t="s">
        <v>29</v>
      </c>
      <c r="G411" t="s">
        <v>32</v>
      </c>
      <c r="H411">
        <v>56</v>
      </c>
      <c r="I411">
        <v>2128</v>
      </c>
      <c r="J411">
        <v>119168</v>
      </c>
      <c r="K411">
        <v>709</v>
      </c>
      <c r="L411">
        <v>39704</v>
      </c>
      <c r="M411">
        <v>79464</v>
      </c>
    </row>
    <row r="412" spans="1:13">
      <c r="A412">
        <v>411</v>
      </c>
      <c r="B412" s="65535">
        <v>45256</v>
      </c>
      <c r="C412" t="s">
        <v>18</v>
      </c>
      <c r="D412" t="s">
        <v>38</v>
      </c>
      <c r="E412" t="s">
        <v>24</v>
      </c>
      <c r="F412" t="s">
        <v>35</v>
      </c>
      <c r="G412" t="s">
        <v>32</v>
      </c>
      <c r="H412">
        <v>218</v>
      </c>
      <c r="I412">
        <v>477</v>
      </c>
      <c r="J412">
        <v>103986</v>
      </c>
      <c r="K412">
        <v>240</v>
      </c>
      <c r="L412">
        <v>52320</v>
      </c>
      <c r="M412">
        <v>51666</v>
      </c>
    </row>
    <row r="413" spans="1:13">
      <c r="A413">
        <v>412</v>
      </c>
      <c r="B413" s="65535">
        <v>45097</v>
      </c>
      <c r="C413" t="s">
        <v>33</v>
      </c>
      <c r="D413" t="s">
        <v>34</v>
      </c>
      <c r="E413" t="s">
        <v>24</v>
      </c>
      <c r="F413" t="s">
        <v>35</v>
      </c>
      <c r="G413" t="s">
        <v>32</v>
      </c>
      <c r="H413">
        <v>377</v>
      </c>
      <c r="I413">
        <v>3660</v>
      </c>
      <c r="J413">
        <v>1379820</v>
      </c>
      <c r="K413">
        <v>3459</v>
      </c>
      <c r="L413">
        <v>1304043</v>
      </c>
      <c r="M413">
        <v>75777</v>
      </c>
    </row>
    <row r="414" spans="1:13">
      <c r="A414">
        <v>413</v>
      </c>
      <c r="B414" s="65535">
        <v>45107</v>
      </c>
      <c r="C414" t="s">
        <v>33</v>
      </c>
      <c r="D414" t="s">
        <v>46</v>
      </c>
      <c r="E414" t="s">
        <v>20</v>
      </c>
      <c r="F414" t="s">
        <v>28</v>
      </c>
      <c r="G414" t="s">
        <v>22</v>
      </c>
      <c r="H414">
        <v>225</v>
      </c>
      <c r="I414">
        <v>4686</v>
      </c>
      <c r="J414">
        <v>1054350</v>
      </c>
      <c r="K414">
        <v>2776</v>
      </c>
      <c r="L414">
        <v>624600</v>
      </c>
      <c r="M414">
        <v>429750</v>
      </c>
    </row>
    <row r="415" spans="1:13">
      <c r="A415">
        <v>414</v>
      </c>
      <c r="B415" s="65535">
        <v>45021</v>
      </c>
      <c r="C415" t="s">
        <v>13</v>
      </c>
      <c r="D415" t="s">
        <v>14</v>
      </c>
      <c r="E415" t="s">
        <v>15</v>
      </c>
      <c r="F415" t="s">
        <v>49</v>
      </c>
      <c r="G415" t="s">
        <v>17</v>
      </c>
      <c r="H415">
        <v>332</v>
      </c>
      <c r="I415">
        <v>3832</v>
      </c>
      <c r="J415">
        <v>1272224</v>
      </c>
      <c r="K415">
        <v>3340</v>
      </c>
      <c r="L415">
        <v>1108880</v>
      </c>
      <c r="M415">
        <v>163344</v>
      </c>
    </row>
    <row r="416" spans="1:13">
      <c r="A416">
        <v>415</v>
      </c>
      <c r="B416" s="65535">
        <v>45083</v>
      </c>
      <c r="C416" t="s">
        <v>18</v>
      </c>
      <c r="D416" t="s">
        <v>50</v>
      </c>
      <c r="E416" t="s">
        <v>24</v>
      </c>
      <c r="F416" t="s">
        <v>25</v>
      </c>
      <c r="G416" t="s">
        <v>17</v>
      </c>
      <c r="H416">
        <v>170</v>
      </c>
      <c r="I416">
        <v>4917</v>
      </c>
      <c r="J416">
        <v>835890</v>
      </c>
      <c r="K416">
        <v>773</v>
      </c>
      <c r="L416">
        <v>131410</v>
      </c>
      <c r="M416">
        <v>704480</v>
      </c>
    </row>
    <row r="417" spans="1:13">
      <c r="A417">
        <v>416</v>
      </c>
      <c r="B417" s="65535">
        <v>45259</v>
      </c>
      <c r="C417" t="s">
        <v>33</v>
      </c>
      <c r="D417" t="s">
        <v>46</v>
      </c>
      <c r="E417" t="s">
        <v>30</v>
      </c>
      <c r="F417" t="s">
        <v>31</v>
      </c>
      <c r="G417" t="s">
        <v>17</v>
      </c>
      <c r="H417">
        <v>400</v>
      </c>
      <c r="I417">
        <v>1265</v>
      </c>
      <c r="J417">
        <v>506000</v>
      </c>
      <c r="K417">
        <v>940</v>
      </c>
      <c r="L417">
        <v>376000</v>
      </c>
      <c r="M417">
        <v>130000</v>
      </c>
    </row>
    <row r="418" spans="1:13">
      <c r="A418">
        <v>417</v>
      </c>
      <c r="B418" s="65535">
        <v>45060</v>
      </c>
      <c r="C418" t="s">
        <v>26</v>
      </c>
      <c r="D418" t="s">
        <v>45</v>
      </c>
      <c r="E418" t="s">
        <v>24</v>
      </c>
      <c r="F418" t="s">
        <v>35</v>
      </c>
      <c r="G418" t="s">
        <v>22</v>
      </c>
      <c r="H418">
        <v>98</v>
      </c>
      <c r="I418">
        <v>2883</v>
      </c>
      <c r="J418">
        <v>282534</v>
      </c>
      <c r="K418">
        <v>1254</v>
      </c>
      <c r="L418">
        <v>122892</v>
      </c>
      <c r="M418">
        <v>159642</v>
      </c>
    </row>
    <row r="419" spans="1:13">
      <c r="A419">
        <v>418</v>
      </c>
      <c r="B419" s="65535">
        <v>45128</v>
      </c>
      <c r="C419" t="s">
        <v>18</v>
      </c>
      <c r="D419" t="s">
        <v>50</v>
      </c>
      <c r="E419" t="s">
        <v>24</v>
      </c>
      <c r="F419" t="s">
        <v>48</v>
      </c>
      <c r="G419" t="s">
        <v>22</v>
      </c>
      <c r="H419">
        <v>458</v>
      </c>
      <c r="I419">
        <v>3291</v>
      </c>
      <c r="J419">
        <v>1507278</v>
      </c>
      <c r="K419">
        <v>2436</v>
      </c>
      <c r="L419">
        <v>1115688</v>
      </c>
      <c r="M419">
        <v>391590</v>
      </c>
    </row>
    <row r="420" spans="1:13">
      <c r="A420">
        <v>419</v>
      </c>
      <c r="B420" s="65535">
        <v>45240</v>
      </c>
      <c r="C420" t="s">
        <v>18</v>
      </c>
      <c r="D420" t="s">
        <v>50</v>
      </c>
      <c r="E420" t="s">
        <v>15</v>
      </c>
      <c r="F420" t="s">
        <v>49</v>
      </c>
      <c r="G420" t="s">
        <v>17</v>
      </c>
      <c r="H420">
        <v>330</v>
      </c>
      <c r="I420">
        <v>2073</v>
      </c>
      <c r="J420">
        <v>684090</v>
      </c>
      <c r="K420">
        <v>1957</v>
      </c>
      <c r="L420">
        <v>645810</v>
      </c>
      <c r="M420">
        <v>38280</v>
      </c>
    </row>
    <row r="421" spans="1:13">
      <c r="A421">
        <v>420</v>
      </c>
      <c r="B421" s="65535">
        <v>45013</v>
      </c>
      <c r="C421" t="s">
        <v>33</v>
      </c>
      <c r="D421" t="s">
        <v>34</v>
      </c>
      <c r="E421" t="s">
        <v>30</v>
      </c>
      <c r="F421" t="s">
        <v>40</v>
      </c>
      <c r="G421" t="s">
        <v>17</v>
      </c>
      <c r="H421">
        <v>35</v>
      </c>
      <c r="I421">
        <v>3485</v>
      </c>
      <c r="J421">
        <v>121975</v>
      </c>
      <c r="K421">
        <v>2631</v>
      </c>
      <c r="L421">
        <v>92085</v>
      </c>
      <c r="M421">
        <v>29890</v>
      </c>
    </row>
    <row r="422" spans="1:13">
      <c r="A422">
        <v>421</v>
      </c>
      <c r="B422" s="65535">
        <v>45014</v>
      </c>
      <c r="C422" t="s">
        <v>13</v>
      </c>
      <c r="D422" t="s">
        <v>23</v>
      </c>
      <c r="E422" t="s">
        <v>30</v>
      </c>
      <c r="F422" t="s">
        <v>37</v>
      </c>
      <c r="G422" t="s">
        <v>32</v>
      </c>
      <c r="H422">
        <v>494</v>
      </c>
      <c r="I422">
        <v>4846</v>
      </c>
      <c r="J422">
        <v>2393924</v>
      </c>
      <c r="K422">
        <v>1061</v>
      </c>
      <c r="L422">
        <v>524134</v>
      </c>
      <c r="M422">
        <v>1869790</v>
      </c>
    </row>
    <row r="423" spans="1:13">
      <c r="A423">
        <v>422</v>
      </c>
      <c r="B423" s="65535">
        <v>44987</v>
      </c>
      <c r="C423" t="s">
        <v>33</v>
      </c>
      <c r="D423" t="s">
        <v>34</v>
      </c>
      <c r="E423" t="s">
        <v>24</v>
      </c>
      <c r="F423" t="s">
        <v>35</v>
      </c>
      <c r="G423" t="s">
        <v>32</v>
      </c>
      <c r="H423">
        <v>124</v>
      </c>
      <c r="I423">
        <v>1864</v>
      </c>
      <c r="J423">
        <v>231136</v>
      </c>
      <c r="K423">
        <v>490</v>
      </c>
      <c r="L423">
        <v>60760</v>
      </c>
      <c r="M423">
        <v>170376</v>
      </c>
    </row>
    <row r="424" spans="1:13">
      <c r="A424">
        <v>423</v>
      </c>
      <c r="B424" s="65535">
        <v>45147</v>
      </c>
      <c r="C424" t="s">
        <v>26</v>
      </c>
      <c r="D424" t="s">
        <v>27</v>
      </c>
      <c r="E424" t="s">
        <v>24</v>
      </c>
      <c r="F424" t="s">
        <v>48</v>
      </c>
      <c r="G424" t="s">
        <v>22</v>
      </c>
      <c r="H424">
        <v>448</v>
      </c>
      <c r="I424">
        <v>1892</v>
      </c>
      <c r="J424">
        <v>847616</v>
      </c>
      <c r="K424">
        <v>1328</v>
      </c>
      <c r="L424">
        <v>594944</v>
      </c>
      <c r="M424">
        <v>252672</v>
      </c>
    </row>
    <row r="425" spans="1:13">
      <c r="A425">
        <v>424</v>
      </c>
      <c r="B425" s="65535">
        <v>45136</v>
      </c>
      <c r="C425" t="s">
        <v>18</v>
      </c>
      <c r="D425" t="s">
        <v>47</v>
      </c>
      <c r="E425" t="s">
        <v>30</v>
      </c>
      <c r="F425" t="s">
        <v>40</v>
      </c>
      <c r="G425" t="s">
        <v>22</v>
      </c>
      <c r="H425">
        <v>415</v>
      </c>
      <c r="I425">
        <v>1395</v>
      </c>
      <c r="J425">
        <v>578925</v>
      </c>
      <c r="K425">
        <v>158</v>
      </c>
      <c r="L425">
        <v>65570</v>
      </c>
      <c r="M425">
        <v>513355</v>
      </c>
    </row>
    <row r="426" spans="1:13">
      <c r="A426">
        <v>425</v>
      </c>
      <c r="B426" s="65535">
        <v>45054</v>
      </c>
      <c r="C426" t="s">
        <v>26</v>
      </c>
      <c r="D426" t="s">
        <v>27</v>
      </c>
      <c r="E426" t="s">
        <v>30</v>
      </c>
      <c r="F426" t="s">
        <v>31</v>
      </c>
      <c r="G426" t="s">
        <v>32</v>
      </c>
      <c r="H426">
        <v>199</v>
      </c>
      <c r="I426">
        <v>4975</v>
      </c>
      <c r="J426">
        <v>990025</v>
      </c>
      <c r="K426">
        <v>3853</v>
      </c>
      <c r="L426">
        <v>766747</v>
      </c>
      <c r="M426">
        <v>223278</v>
      </c>
    </row>
    <row r="427" spans="1:13">
      <c r="A427">
        <v>426</v>
      </c>
      <c r="B427" s="65535">
        <v>45281</v>
      </c>
      <c r="C427" t="s">
        <v>33</v>
      </c>
      <c r="D427" t="s">
        <v>39</v>
      </c>
      <c r="E427" t="s">
        <v>24</v>
      </c>
      <c r="F427" t="s">
        <v>25</v>
      </c>
      <c r="G427" t="s">
        <v>32</v>
      </c>
      <c r="H427">
        <v>213</v>
      </c>
      <c r="I427">
        <v>1938</v>
      </c>
      <c r="J427">
        <v>412794</v>
      </c>
      <c r="K427">
        <v>1560</v>
      </c>
      <c r="L427">
        <v>332280</v>
      </c>
      <c r="M427">
        <v>80514</v>
      </c>
    </row>
    <row r="428" spans="1:13">
      <c r="A428">
        <v>427</v>
      </c>
      <c r="B428" s="65535">
        <v>45212</v>
      </c>
      <c r="C428" t="s">
        <v>13</v>
      </c>
      <c r="D428" t="s">
        <v>42</v>
      </c>
      <c r="E428" t="s">
        <v>20</v>
      </c>
      <c r="F428" t="s">
        <v>44</v>
      </c>
      <c r="G428" t="s">
        <v>22</v>
      </c>
      <c r="H428">
        <v>40</v>
      </c>
      <c r="I428">
        <v>626</v>
      </c>
      <c r="J428">
        <v>25040</v>
      </c>
      <c r="K428">
        <v>270</v>
      </c>
      <c r="L428">
        <v>10800</v>
      </c>
      <c r="M428">
        <v>14240</v>
      </c>
    </row>
    <row r="429" spans="1:13">
      <c r="A429">
        <v>428</v>
      </c>
      <c r="B429" s="65535">
        <v>45233</v>
      </c>
      <c r="C429" t="s">
        <v>18</v>
      </c>
      <c r="D429" t="s">
        <v>19</v>
      </c>
      <c r="E429" t="s">
        <v>20</v>
      </c>
      <c r="F429" t="s">
        <v>28</v>
      </c>
      <c r="G429" t="s">
        <v>17</v>
      </c>
      <c r="H429">
        <v>373</v>
      </c>
      <c r="I429">
        <v>572</v>
      </c>
      <c r="J429">
        <v>213356</v>
      </c>
      <c r="K429">
        <v>102</v>
      </c>
      <c r="L429">
        <v>38046</v>
      </c>
      <c r="M429">
        <v>175310</v>
      </c>
    </row>
    <row r="430" spans="1:13">
      <c r="A430">
        <v>429</v>
      </c>
      <c r="B430" s="65535">
        <v>45116</v>
      </c>
      <c r="C430" t="s">
        <v>26</v>
      </c>
      <c r="D430" t="s">
        <v>45</v>
      </c>
      <c r="E430" t="s">
        <v>20</v>
      </c>
      <c r="F430" t="s">
        <v>21</v>
      </c>
      <c r="G430" t="s">
        <v>17</v>
      </c>
      <c r="H430">
        <v>77</v>
      </c>
      <c r="I430">
        <v>4783</v>
      </c>
      <c r="J430">
        <v>368291</v>
      </c>
      <c r="K430">
        <v>436</v>
      </c>
      <c r="L430">
        <v>33572</v>
      </c>
      <c r="M430">
        <v>334719</v>
      </c>
    </row>
    <row r="431" spans="1:13">
      <c r="A431">
        <v>430</v>
      </c>
      <c r="B431" s="65535">
        <v>45100</v>
      </c>
      <c r="C431" t="s">
        <v>18</v>
      </c>
      <c r="D431" t="s">
        <v>47</v>
      </c>
      <c r="E431" t="s">
        <v>30</v>
      </c>
      <c r="F431" t="s">
        <v>31</v>
      </c>
      <c r="G431" t="s">
        <v>32</v>
      </c>
      <c r="H431">
        <v>459</v>
      </c>
      <c r="I431">
        <v>4034</v>
      </c>
      <c r="J431">
        <v>1851606</v>
      </c>
      <c r="K431">
        <v>640</v>
      </c>
      <c r="L431">
        <v>293760</v>
      </c>
      <c r="M431">
        <v>1557846</v>
      </c>
    </row>
    <row r="432" spans="1:13">
      <c r="A432">
        <v>431</v>
      </c>
      <c r="B432" s="65535">
        <v>44986</v>
      </c>
      <c r="C432" t="s">
        <v>33</v>
      </c>
      <c r="D432" t="s">
        <v>41</v>
      </c>
      <c r="E432" t="s">
        <v>24</v>
      </c>
      <c r="F432" t="s">
        <v>25</v>
      </c>
      <c r="G432" t="s">
        <v>32</v>
      </c>
      <c r="H432">
        <v>170</v>
      </c>
      <c r="I432">
        <v>561</v>
      </c>
      <c r="J432">
        <v>95370</v>
      </c>
      <c r="K432">
        <v>165</v>
      </c>
      <c r="L432">
        <v>28050</v>
      </c>
      <c r="M432">
        <v>67320</v>
      </c>
    </row>
    <row r="433" spans="1:13">
      <c r="A433">
        <v>432</v>
      </c>
      <c r="B433" s="65535">
        <v>45061</v>
      </c>
      <c r="C433" t="s">
        <v>13</v>
      </c>
      <c r="D433" t="s">
        <v>23</v>
      </c>
      <c r="E433" t="s">
        <v>20</v>
      </c>
      <c r="F433" t="s">
        <v>21</v>
      </c>
      <c r="G433" t="s">
        <v>32</v>
      </c>
      <c r="H433">
        <v>323</v>
      </c>
      <c r="I433">
        <v>2360</v>
      </c>
      <c r="J433">
        <v>762280</v>
      </c>
      <c r="K433">
        <v>2217</v>
      </c>
      <c r="L433">
        <v>716091</v>
      </c>
      <c r="M433">
        <v>46189</v>
      </c>
    </row>
    <row r="434" spans="1:13">
      <c r="A434">
        <v>433</v>
      </c>
      <c r="B434" s="65535">
        <v>45178</v>
      </c>
      <c r="C434" t="s">
        <v>26</v>
      </c>
      <c r="D434" t="s">
        <v>45</v>
      </c>
      <c r="E434" t="s">
        <v>30</v>
      </c>
      <c r="F434" t="s">
        <v>40</v>
      </c>
      <c r="G434" t="s">
        <v>17</v>
      </c>
      <c r="H434">
        <v>401</v>
      </c>
      <c r="I434">
        <v>1439</v>
      </c>
      <c r="J434">
        <v>577039</v>
      </c>
      <c r="K434">
        <v>1238</v>
      </c>
      <c r="L434">
        <v>496438</v>
      </c>
      <c r="M434">
        <v>80601</v>
      </c>
    </row>
    <row r="435" spans="1:13">
      <c r="A435">
        <v>434</v>
      </c>
      <c r="B435" s="65535">
        <v>45044</v>
      </c>
      <c r="C435" t="s">
        <v>13</v>
      </c>
      <c r="D435" t="s">
        <v>14</v>
      </c>
      <c r="E435" t="s">
        <v>30</v>
      </c>
      <c r="F435" t="s">
        <v>37</v>
      </c>
      <c r="G435" t="s">
        <v>22</v>
      </c>
      <c r="H435">
        <v>103</v>
      </c>
      <c r="I435">
        <v>493</v>
      </c>
      <c r="J435">
        <v>50779</v>
      </c>
      <c r="K435">
        <v>340</v>
      </c>
      <c r="L435">
        <v>35020</v>
      </c>
      <c r="M435">
        <v>15759</v>
      </c>
    </row>
    <row r="436" spans="1:13">
      <c r="A436">
        <v>435</v>
      </c>
      <c r="B436" s="65535">
        <v>45180</v>
      </c>
      <c r="C436" t="s">
        <v>26</v>
      </c>
      <c r="D436" t="s">
        <v>36</v>
      </c>
      <c r="E436" t="s">
        <v>24</v>
      </c>
      <c r="F436" t="s">
        <v>48</v>
      </c>
      <c r="G436" t="s">
        <v>22</v>
      </c>
      <c r="H436">
        <v>30</v>
      </c>
      <c r="I436">
        <v>3816</v>
      </c>
      <c r="J436">
        <v>114480</v>
      </c>
      <c r="K436">
        <v>1560</v>
      </c>
      <c r="L436">
        <v>46800</v>
      </c>
      <c r="M436">
        <v>67680</v>
      </c>
    </row>
    <row r="437" spans="1:13">
      <c r="A437">
        <v>436</v>
      </c>
      <c r="B437" s="65535">
        <v>45002</v>
      </c>
      <c r="C437" t="s">
        <v>13</v>
      </c>
      <c r="D437" t="s">
        <v>42</v>
      </c>
      <c r="E437" t="s">
        <v>24</v>
      </c>
      <c r="F437" t="s">
        <v>25</v>
      </c>
      <c r="G437" t="s">
        <v>17</v>
      </c>
      <c r="H437">
        <v>73</v>
      </c>
      <c r="I437">
        <v>3063</v>
      </c>
      <c r="J437">
        <v>223599</v>
      </c>
      <c r="K437">
        <v>483</v>
      </c>
      <c r="L437">
        <v>35259</v>
      </c>
      <c r="M437">
        <v>188340</v>
      </c>
    </row>
    <row r="438" spans="1:13">
      <c r="A438">
        <v>437</v>
      </c>
      <c r="B438" s="65535">
        <v>45187</v>
      </c>
      <c r="C438" t="s">
        <v>18</v>
      </c>
      <c r="D438" t="s">
        <v>47</v>
      </c>
      <c r="E438" t="s">
        <v>30</v>
      </c>
      <c r="F438" t="s">
        <v>37</v>
      </c>
      <c r="G438" t="s">
        <v>17</v>
      </c>
      <c r="H438">
        <v>431</v>
      </c>
      <c r="I438">
        <v>2434</v>
      </c>
      <c r="J438">
        <v>1049054</v>
      </c>
      <c r="K438">
        <v>969</v>
      </c>
      <c r="L438">
        <v>417639</v>
      </c>
      <c r="M438">
        <v>631415</v>
      </c>
    </row>
    <row r="439" spans="1:13">
      <c r="A439">
        <v>438</v>
      </c>
      <c r="B439" s="65535">
        <v>45182</v>
      </c>
      <c r="C439" t="s">
        <v>33</v>
      </c>
      <c r="D439" t="s">
        <v>46</v>
      </c>
      <c r="E439" t="s">
        <v>24</v>
      </c>
      <c r="F439" t="s">
        <v>25</v>
      </c>
      <c r="G439" t="s">
        <v>22</v>
      </c>
      <c r="H439">
        <v>356</v>
      </c>
      <c r="I439">
        <v>972</v>
      </c>
      <c r="J439">
        <v>346032</v>
      </c>
      <c r="K439">
        <v>436</v>
      </c>
      <c r="L439">
        <v>155216</v>
      </c>
      <c r="M439">
        <v>190816</v>
      </c>
    </row>
    <row r="440" spans="1:13">
      <c r="A440">
        <v>439</v>
      </c>
      <c r="B440" s="65535">
        <v>45229</v>
      </c>
      <c r="C440" t="s">
        <v>33</v>
      </c>
      <c r="D440" t="s">
        <v>41</v>
      </c>
      <c r="E440" t="s">
        <v>15</v>
      </c>
      <c r="F440" t="s">
        <v>29</v>
      </c>
      <c r="G440" t="s">
        <v>32</v>
      </c>
      <c r="H440">
        <v>485</v>
      </c>
      <c r="I440">
        <v>1068</v>
      </c>
      <c r="J440">
        <v>517980</v>
      </c>
      <c r="K440">
        <v>957</v>
      </c>
      <c r="L440">
        <v>464145</v>
      </c>
      <c r="M440">
        <v>53835</v>
      </c>
    </row>
    <row r="441" spans="1:13">
      <c r="A441">
        <v>440</v>
      </c>
      <c r="B441" s="65535">
        <v>45289</v>
      </c>
      <c r="C441" t="s">
        <v>26</v>
      </c>
      <c r="D441" t="s">
        <v>36</v>
      </c>
      <c r="E441" t="s">
        <v>15</v>
      </c>
      <c r="F441" t="s">
        <v>16</v>
      </c>
      <c r="G441" t="s">
        <v>32</v>
      </c>
      <c r="H441">
        <v>347</v>
      </c>
      <c r="I441">
        <v>4130</v>
      </c>
      <c r="J441">
        <v>1433110</v>
      </c>
      <c r="K441">
        <v>1959</v>
      </c>
      <c r="L441">
        <v>679773</v>
      </c>
      <c r="M441">
        <v>753337</v>
      </c>
    </row>
    <row r="442" spans="1:13">
      <c r="A442">
        <v>441</v>
      </c>
      <c r="B442" s="65535">
        <v>45245</v>
      </c>
      <c r="C442" t="s">
        <v>26</v>
      </c>
      <c r="D442" t="s">
        <v>51</v>
      </c>
      <c r="E442" t="s">
        <v>20</v>
      </c>
      <c r="F442" t="s">
        <v>44</v>
      </c>
      <c r="G442" t="s">
        <v>17</v>
      </c>
      <c r="H442">
        <v>496</v>
      </c>
      <c r="I442">
        <v>3911</v>
      </c>
      <c r="J442">
        <v>1939856</v>
      </c>
      <c r="K442">
        <v>1430</v>
      </c>
      <c r="L442">
        <v>709280</v>
      </c>
      <c r="M442">
        <v>1230576</v>
      </c>
    </row>
    <row r="443" spans="1:13">
      <c r="A443">
        <v>442</v>
      </c>
      <c r="B443" s="65535">
        <v>45092</v>
      </c>
      <c r="C443" t="s">
        <v>18</v>
      </c>
      <c r="D443" t="s">
        <v>38</v>
      </c>
      <c r="E443" t="s">
        <v>15</v>
      </c>
      <c r="F443" t="s">
        <v>49</v>
      </c>
      <c r="G443" t="s">
        <v>32</v>
      </c>
      <c r="H443">
        <v>418</v>
      </c>
      <c r="I443">
        <v>654</v>
      </c>
      <c r="J443">
        <v>273372</v>
      </c>
      <c r="K443">
        <v>480</v>
      </c>
      <c r="L443">
        <v>200640</v>
      </c>
      <c r="M443">
        <v>72732</v>
      </c>
    </row>
    <row r="444" spans="1:13">
      <c r="A444">
        <v>443</v>
      </c>
      <c r="B444" s="65535">
        <v>45018</v>
      </c>
      <c r="C444" t="s">
        <v>33</v>
      </c>
      <c r="D444" t="s">
        <v>34</v>
      </c>
      <c r="E444" t="s">
        <v>15</v>
      </c>
      <c r="F444" t="s">
        <v>29</v>
      </c>
      <c r="G444" t="s">
        <v>32</v>
      </c>
      <c r="H444">
        <v>132</v>
      </c>
      <c r="I444">
        <v>3467</v>
      </c>
      <c r="J444">
        <v>457644</v>
      </c>
      <c r="K444">
        <v>465</v>
      </c>
      <c r="L444">
        <v>61380</v>
      </c>
      <c r="M444">
        <v>396264</v>
      </c>
    </row>
    <row r="445" spans="1:13">
      <c r="A445">
        <v>444</v>
      </c>
      <c r="B445" s="65535">
        <v>45072</v>
      </c>
      <c r="C445" t="s">
        <v>33</v>
      </c>
      <c r="D445" t="s">
        <v>46</v>
      </c>
      <c r="E445" t="s">
        <v>30</v>
      </c>
      <c r="F445" t="s">
        <v>40</v>
      </c>
      <c r="G445" t="s">
        <v>32</v>
      </c>
      <c r="H445">
        <v>341</v>
      </c>
      <c r="I445">
        <v>1462</v>
      </c>
      <c r="J445">
        <v>498542</v>
      </c>
      <c r="K445">
        <v>346</v>
      </c>
      <c r="L445">
        <v>117986</v>
      </c>
      <c r="M445">
        <v>380556</v>
      </c>
    </row>
    <row r="446" spans="1:13">
      <c r="A446">
        <v>445</v>
      </c>
      <c r="B446" s="65535">
        <v>45277</v>
      </c>
      <c r="C446" t="s">
        <v>26</v>
      </c>
      <c r="D446" t="s">
        <v>45</v>
      </c>
      <c r="E446" t="s">
        <v>24</v>
      </c>
      <c r="F446" t="s">
        <v>35</v>
      </c>
      <c r="G446" t="s">
        <v>32</v>
      </c>
      <c r="H446">
        <v>318</v>
      </c>
      <c r="I446">
        <v>1275</v>
      </c>
      <c r="J446">
        <v>405450</v>
      </c>
      <c r="K446">
        <v>835</v>
      </c>
      <c r="L446">
        <v>265530</v>
      </c>
      <c r="M446">
        <v>139920</v>
      </c>
    </row>
    <row r="447" spans="1:13">
      <c r="A447">
        <v>446</v>
      </c>
      <c r="B447" s="65535">
        <v>45125</v>
      </c>
      <c r="C447" t="s">
        <v>33</v>
      </c>
      <c r="D447" t="s">
        <v>41</v>
      </c>
      <c r="E447" t="s">
        <v>30</v>
      </c>
      <c r="F447" t="s">
        <v>40</v>
      </c>
      <c r="G447" t="s">
        <v>32</v>
      </c>
      <c r="H447">
        <v>253</v>
      </c>
      <c r="I447">
        <v>2399</v>
      </c>
      <c r="J447">
        <v>606947</v>
      </c>
      <c r="K447">
        <v>1832</v>
      </c>
      <c r="L447">
        <v>463496</v>
      </c>
      <c r="M447">
        <v>143451</v>
      </c>
    </row>
    <row r="448" spans="1:13">
      <c r="A448">
        <v>447</v>
      </c>
      <c r="B448" s="65535">
        <v>45149</v>
      </c>
      <c r="C448" t="s">
        <v>33</v>
      </c>
      <c r="D448" t="s">
        <v>34</v>
      </c>
      <c r="E448" t="s">
        <v>20</v>
      </c>
      <c r="F448" t="s">
        <v>28</v>
      </c>
      <c r="G448" t="s">
        <v>22</v>
      </c>
      <c r="H448">
        <v>332</v>
      </c>
      <c r="I448">
        <v>3689</v>
      </c>
      <c r="J448">
        <v>1224748</v>
      </c>
      <c r="K448">
        <v>480</v>
      </c>
      <c r="L448">
        <v>159360</v>
      </c>
      <c r="M448">
        <v>1065388</v>
      </c>
    </row>
    <row r="449" spans="1:13">
      <c r="A449">
        <v>448</v>
      </c>
      <c r="B449" s="65535">
        <v>45258</v>
      </c>
      <c r="C449" t="s">
        <v>33</v>
      </c>
      <c r="D449" t="s">
        <v>41</v>
      </c>
      <c r="E449" t="s">
        <v>24</v>
      </c>
      <c r="F449" t="s">
        <v>35</v>
      </c>
      <c r="G449" t="s">
        <v>22</v>
      </c>
      <c r="H449">
        <v>361</v>
      </c>
      <c r="I449">
        <v>1470</v>
      </c>
      <c r="J449">
        <v>530670</v>
      </c>
      <c r="K449">
        <v>1114</v>
      </c>
      <c r="L449">
        <v>402154</v>
      </c>
      <c r="M449">
        <v>128516</v>
      </c>
    </row>
    <row r="450" spans="1:13">
      <c r="A450">
        <v>449</v>
      </c>
      <c r="B450" s="65535">
        <v>45171</v>
      </c>
      <c r="C450" t="s">
        <v>33</v>
      </c>
      <c r="D450" t="s">
        <v>41</v>
      </c>
      <c r="E450" t="s">
        <v>24</v>
      </c>
      <c r="F450" t="s">
        <v>48</v>
      </c>
      <c r="G450" t="s">
        <v>22</v>
      </c>
      <c r="H450">
        <v>163</v>
      </c>
      <c r="I450">
        <v>1417</v>
      </c>
      <c r="J450">
        <v>230971</v>
      </c>
      <c r="K450">
        <v>361</v>
      </c>
      <c r="L450">
        <v>58843</v>
      </c>
      <c r="M450">
        <v>172128</v>
      </c>
    </row>
    <row r="451" spans="1:13">
      <c r="A451">
        <v>450</v>
      </c>
      <c r="B451" s="65535">
        <v>44951</v>
      </c>
      <c r="C451" t="s">
        <v>26</v>
      </c>
      <c r="D451" t="s">
        <v>36</v>
      </c>
      <c r="E451" t="s">
        <v>24</v>
      </c>
      <c r="F451" t="s">
        <v>48</v>
      </c>
      <c r="G451" t="s">
        <v>17</v>
      </c>
      <c r="H451">
        <v>292</v>
      </c>
      <c r="I451">
        <v>826</v>
      </c>
      <c r="J451">
        <v>241192</v>
      </c>
      <c r="K451">
        <v>146</v>
      </c>
      <c r="L451">
        <v>42632</v>
      </c>
      <c r="M451">
        <v>198560</v>
      </c>
    </row>
    <row r="452" spans="1:13">
      <c r="A452">
        <v>451</v>
      </c>
      <c r="B452" s="65535">
        <v>45265</v>
      </c>
      <c r="C452" t="s">
        <v>33</v>
      </c>
      <c r="D452" t="s">
        <v>34</v>
      </c>
      <c r="E452" t="s">
        <v>24</v>
      </c>
      <c r="F452" t="s">
        <v>25</v>
      </c>
      <c r="G452" t="s">
        <v>32</v>
      </c>
      <c r="H452">
        <v>378</v>
      </c>
      <c r="I452">
        <v>4856</v>
      </c>
      <c r="J452">
        <v>1835568</v>
      </c>
      <c r="K452">
        <v>2175</v>
      </c>
      <c r="L452">
        <v>822150</v>
      </c>
      <c r="M452">
        <v>1013418</v>
      </c>
    </row>
    <row r="453" spans="1:13">
      <c r="A453">
        <v>452</v>
      </c>
      <c r="B453" s="65535">
        <v>44985</v>
      </c>
      <c r="C453" t="s">
        <v>26</v>
      </c>
      <c r="D453" t="s">
        <v>27</v>
      </c>
      <c r="E453" t="s">
        <v>15</v>
      </c>
      <c r="F453" t="s">
        <v>49</v>
      </c>
      <c r="G453" t="s">
        <v>22</v>
      </c>
      <c r="H453">
        <v>389</v>
      </c>
      <c r="I453">
        <v>3991</v>
      </c>
      <c r="J453">
        <v>1552499</v>
      </c>
      <c r="K453">
        <v>835</v>
      </c>
      <c r="L453">
        <v>324815</v>
      </c>
      <c r="M453">
        <v>1227684</v>
      </c>
    </row>
    <row r="454" spans="1:13">
      <c r="A454">
        <v>453</v>
      </c>
      <c r="B454" s="65535">
        <v>45287</v>
      </c>
      <c r="C454" t="s">
        <v>18</v>
      </c>
      <c r="D454" t="s">
        <v>19</v>
      </c>
      <c r="E454" t="s">
        <v>15</v>
      </c>
      <c r="F454" t="s">
        <v>16</v>
      </c>
      <c r="G454" t="s">
        <v>32</v>
      </c>
      <c r="H454">
        <v>162</v>
      </c>
      <c r="I454">
        <v>2771</v>
      </c>
      <c r="J454">
        <v>448902</v>
      </c>
      <c r="K454">
        <v>2505</v>
      </c>
      <c r="L454">
        <v>405810</v>
      </c>
      <c r="M454">
        <v>43092</v>
      </c>
    </row>
    <row r="455" spans="1:13">
      <c r="A455">
        <v>454</v>
      </c>
      <c r="B455" s="65535">
        <v>45035</v>
      </c>
      <c r="C455" t="s">
        <v>13</v>
      </c>
      <c r="D455" t="s">
        <v>42</v>
      </c>
      <c r="E455" t="s">
        <v>20</v>
      </c>
      <c r="F455" t="s">
        <v>21</v>
      </c>
      <c r="G455" t="s">
        <v>22</v>
      </c>
      <c r="H455">
        <v>104</v>
      </c>
      <c r="I455">
        <v>840</v>
      </c>
      <c r="J455">
        <v>87360</v>
      </c>
      <c r="K455">
        <v>718</v>
      </c>
      <c r="L455">
        <v>74672</v>
      </c>
      <c r="M455">
        <v>12688</v>
      </c>
    </row>
    <row r="456" spans="1:13">
      <c r="A456">
        <v>455</v>
      </c>
      <c r="B456" s="65535">
        <v>44929</v>
      </c>
      <c r="C456" t="s">
        <v>26</v>
      </c>
      <c r="D456" t="s">
        <v>51</v>
      </c>
      <c r="E456" t="s">
        <v>24</v>
      </c>
      <c r="F456" t="s">
        <v>35</v>
      </c>
      <c r="G456" t="s">
        <v>22</v>
      </c>
      <c r="H456">
        <v>212</v>
      </c>
      <c r="I456">
        <v>1155</v>
      </c>
      <c r="J456">
        <v>244860</v>
      </c>
      <c r="K456">
        <v>113</v>
      </c>
      <c r="L456">
        <v>23956</v>
      </c>
      <c r="M456">
        <v>220904</v>
      </c>
    </row>
    <row r="457" spans="1:13">
      <c r="A457">
        <v>456</v>
      </c>
      <c r="B457" s="65535">
        <v>45263</v>
      </c>
      <c r="C457" t="s">
        <v>18</v>
      </c>
      <c r="D457" t="s">
        <v>19</v>
      </c>
      <c r="E457" t="s">
        <v>24</v>
      </c>
      <c r="F457" t="s">
        <v>35</v>
      </c>
      <c r="G457" t="s">
        <v>32</v>
      </c>
      <c r="H457">
        <v>391</v>
      </c>
      <c r="I457">
        <v>4187</v>
      </c>
      <c r="J457">
        <v>1637117</v>
      </c>
      <c r="K457">
        <v>1340</v>
      </c>
      <c r="L457">
        <v>523940</v>
      </c>
      <c r="M457">
        <v>1113177</v>
      </c>
    </row>
    <row r="458" spans="1:13">
      <c r="A458">
        <v>457</v>
      </c>
      <c r="B458" s="65535">
        <v>44996</v>
      </c>
      <c r="C458" t="s">
        <v>26</v>
      </c>
      <c r="D458" t="s">
        <v>45</v>
      </c>
      <c r="E458" t="s">
        <v>20</v>
      </c>
      <c r="F458" t="s">
        <v>44</v>
      </c>
      <c r="G458" t="s">
        <v>22</v>
      </c>
      <c r="H458">
        <v>17</v>
      </c>
      <c r="I458">
        <v>1763</v>
      </c>
      <c r="J458">
        <v>29971</v>
      </c>
      <c r="K458">
        <v>329</v>
      </c>
      <c r="L458">
        <v>5593</v>
      </c>
      <c r="M458">
        <v>24378</v>
      </c>
    </row>
    <row r="459" spans="1:13">
      <c r="A459">
        <v>458</v>
      </c>
      <c r="B459" s="65535">
        <v>45259</v>
      </c>
      <c r="C459" t="s">
        <v>33</v>
      </c>
      <c r="D459" t="s">
        <v>46</v>
      </c>
      <c r="E459" t="s">
        <v>15</v>
      </c>
      <c r="F459" t="s">
        <v>16</v>
      </c>
      <c r="G459" t="s">
        <v>32</v>
      </c>
      <c r="H459">
        <v>84</v>
      </c>
      <c r="I459">
        <v>2180</v>
      </c>
      <c r="J459">
        <v>183120</v>
      </c>
      <c r="K459">
        <v>992</v>
      </c>
      <c r="L459">
        <v>83328</v>
      </c>
      <c r="M459">
        <v>99792</v>
      </c>
    </row>
    <row r="460" spans="1:13">
      <c r="A460">
        <v>459</v>
      </c>
      <c r="B460" s="65535">
        <v>45169</v>
      </c>
      <c r="C460" t="s">
        <v>18</v>
      </c>
      <c r="D460" t="s">
        <v>50</v>
      </c>
      <c r="E460" t="s">
        <v>20</v>
      </c>
      <c r="F460" t="s">
        <v>21</v>
      </c>
      <c r="G460" t="s">
        <v>22</v>
      </c>
      <c r="H460">
        <v>226</v>
      </c>
      <c r="I460">
        <v>378</v>
      </c>
      <c r="J460">
        <v>85428</v>
      </c>
      <c r="K460">
        <v>129</v>
      </c>
      <c r="L460">
        <v>29154</v>
      </c>
      <c r="M460">
        <v>56274</v>
      </c>
    </row>
    <row r="461" spans="1:13">
      <c r="A461">
        <v>460</v>
      </c>
      <c r="B461" s="65535">
        <v>44937</v>
      </c>
      <c r="C461" t="s">
        <v>18</v>
      </c>
      <c r="D461" t="s">
        <v>38</v>
      </c>
      <c r="E461" t="s">
        <v>24</v>
      </c>
      <c r="F461" t="s">
        <v>48</v>
      </c>
      <c r="G461" t="s">
        <v>32</v>
      </c>
      <c r="H461">
        <v>450</v>
      </c>
      <c r="I461">
        <v>3882</v>
      </c>
      <c r="J461">
        <v>1746900</v>
      </c>
      <c r="K461">
        <v>2497</v>
      </c>
      <c r="L461">
        <v>1123650</v>
      </c>
      <c r="M461">
        <v>623250</v>
      </c>
    </row>
    <row r="462" spans="1:13">
      <c r="A462">
        <v>461</v>
      </c>
      <c r="B462" s="65535">
        <v>44953</v>
      </c>
      <c r="C462" t="s">
        <v>18</v>
      </c>
      <c r="D462" t="s">
        <v>38</v>
      </c>
      <c r="E462" t="s">
        <v>20</v>
      </c>
      <c r="F462" t="s">
        <v>28</v>
      </c>
      <c r="G462" t="s">
        <v>32</v>
      </c>
      <c r="H462">
        <v>180</v>
      </c>
      <c r="I462">
        <v>264</v>
      </c>
      <c r="J462">
        <v>47520</v>
      </c>
      <c r="K462">
        <v>113</v>
      </c>
      <c r="L462">
        <v>20340</v>
      </c>
      <c r="M462">
        <v>27180</v>
      </c>
    </row>
    <row r="463" spans="1:13">
      <c r="A463">
        <v>462</v>
      </c>
      <c r="B463" s="65535">
        <v>45232</v>
      </c>
      <c r="C463" t="s">
        <v>13</v>
      </c>
      <c r="D463" t="s">
        <v>42</v>
      </c>
      <c r="E463" t="s">
        <v>24</v>
      </c>
      <c r="F463" t="s">
        <v>35</v>
      </c>
      <c r="G463" t="s">
        <v>17</v>
      </c>
      <c r="H463">
        <v>384</v>
      </c>
      <c r="I463">
        <v>4740</v>
      </c>
      <c r="J463">
        <v>1820160</v>
      </c>
      <c r="K463">
        <v>2482</v>
      </c>
      <c r="L463">
        <v>953088</v>
      </c>
      <c r="M463">
        <v>867072</v>
      </c>
    </row>
    <row r="464" spans="1:13">
      <c r="A464">
        <v>463</v>
      </c>
      <c r="B464" s="65535">
        <v>45229</v>
      </c>
      <c r="C464" t="s">
        <v>33</v>
      </c>
      <c r="D464" t="s">
        <v>34</v>
      </c>
      <c r="E464" t="s">
        <v>24</v>
      </c>
      <c r="F464" t="s">
        <v>48</v>
      </c>
      <c r="G464" t="s">
        <v>17</v>
      </c>
      <c r="H464">
        <v>381</v>
      </c>
      <c r="I464">
        <v>4196</v>
      </c>
      <c r="J464">
        <v>1598676</v>
      </c>
      <c r="K464">
        <v>1049</v>
      </c>
      <c r="L464">
        <v>399669</v>
      </c>
      <c r="M464">
        <v>1199007</v>
      </c>
    </row>
    <row r="465" spans="1:13">
      <c r="A465">
        <v>464</v>
      </c>
      <c r="B465" s="65535">
        <v>45210</v>
      </c>
      <c r="C465" t="s">
        <v>33</v>
      </c>
      <c r="D465" t="s">
        <v>39</v>
      </c>
      <c r="E465" t="s">
        <v>24</v>
      </c>
      <c r="F465" t="s">
        <v>35</v>
      </c>
      <c r="G465" t="s">
        <v>32</v>
      </c>
      <c r="H465">
        <v>42</v>
      </c>
      <c r="I465">
        <v>2394</v>
      </c>
      <c r="J465">
        <v>100548</v>
      </c>
      <c r="K465">
        <v>1808</v>
      </c>
      <c r="L465">
        <v>75936</v>
      </c>
      <c r="M465">
        <v>24612</v>
      </c>
    </row>
    <row r="466" spans="1:13">
      <c r="A466">
        <v>465</v>
      </c>
      <c r="B466" s="65535">
        <v>45104</v>
      </c>
      <c r="C466" t="s">
        <v>13</v>
      </c>
      <c r="D466" t="s">
        <v>14</v>
      </c>
      <c r="E466" t="s">
        <v>24</v>
      </c>
      <c r="F466" t="s">
        <v>35</v>
      </c>
      <c r="G466" t="s">
        <v>17</v>
      </c>
      <c r="H466">
        <v>239</v>
      </c>
      <c r="I466">
        <v>3773</v>
      </c>
      <c r="J466">
        <v>901747</v>
      </c>
      <c r="K466">
        <v>185</v>
      </c>
      <c r="L466">
        <v>44215</v>
      </c>
      <c r="M466">
        <v>857532</v>
      </c>
    </row>
    <row r="467" spans="1:13">
      <c r="A467">
        <v>466</v>
      </c>
      <c r="B467" s="65535">
        <v>45151</v>
      </c>
      <c r="C467" t="s">
        <v>18</v>
      </c>
      <c r="D467" t="s">
        <v>47</v>
      </c>
      <c r="E467" t="s">
        <v>30</v>
      </c>
      <c r="F467" t="s">
        <v>40</v>
      </c>
      <c r="G467" t="s">
        <v>32</v>
      </c>
      <c r="H467">
        <v>128</v>
      </c>
      <c r="I467">
        <v>4358</v>
      </c>
      <c r="J467">
        <v>557824</v>
      </c>
      <c r="K467">
        <v>1899</v>
      </c>
      <c r="L467">
        <v>243072</v>
      </c>
      <c r="M467">
        <v>314752</v>
      </c>
    </row>
    <row r="468" spans="1:13">
      <c r="A468">
        <v>467</v>
      </c>
      <c r="B468" s="65535">
        <v>45291</v>
      </c>
      <c r="C468" t="s">
        <v>26</v>
      </c>
      <c r="D468" t="s">
        <v>45</v>
      </c>
      <c r="E468" t="s">
        <v>30</v>
      </c>
      <c r="F468" t="s">
        <v>40</v>
      </c>
      <c r="G468" t="s">
        <v>17</v>
      </c>
      <c r="H468">
        <v>209</v>
      </c>
      <c r="I468">
        <v>3614</v>
      </c>
      <c r="J468">
        <v>755326</v>
      </c>
      <c r="K468">
        <v>3512</v>
      </c>
      <c r="L468">
        <v>734008</v>
      </c>
      <c r="M468">
        <v>21318</v>
      </c>
    </row>
    <row r="469" spans="1:13">
      <c r="A469">
        <v>468</v>
      </c>
      <c r="B469" s="65535">
        <v>45071</v>
      </c>
      <c r="C469" t="s">
        <v>26</v>
      </c>
      <c r="D469" t="s">
        <v>45</v>
      </c>
      <c r="E469" t="s">
        <v>30</v>
      </c>
      <c r="F469" t="s">
        <v>31</v>
      </c>
      <c r="G469" t="s">
        <v>22</v>
      </c>
      <c r="H469">
        <v>363</v>
      </c>
      <c r="I469">
        <v>906</v>
      </c>
      <c r="J469">
        <v>328878</v>
      </c>
      <c r="K469">
        <v>783</v>
      </c>
      <c r="L469">
        <v>284229</v>
      </c>
      <c r="M469">
        <v>44649</v>
      </c>
    </row>
    <row r="470" spans="1:13">
      <c r="A470">
        <v>469</v>
      </c>
      <c r="B470" s="65535">
        <v>45237</v>
      </c>
      <c r="C470" t="s">
        <v>13</v>
      </c>
      <c r="D470" t="s">
        <v>43</v>
      </c>
      <c r="E470" t="s">
        <v>30</v>
      </c>
      <c r="F470" t="s">
        <v>37</v>
      </c>
      <c r="G470" t="s">
        <v>22</v>
      </c>
      <c r="H470">
        <v>261</v>
      </c>
      <c r="I470">
        <v>1026</v>
      </c>
      <c r="J470">
        <v>267786</v>
      </c>
      <c r="K470">
        <v>912</v>
      </c>
      <c r="L470">
        <v>238032</v>
      </c>
      <c r="M470">
        <v>29754</v>
      </c>
    </row>
    <row r="471" spans="1:13">
      <c r="A471">
        <v>470</v>
      </c>
      <c r="B471" s="65535">
        <v>45212</v>
      </c>
      <c r="C471" t="s">
        <v>13</v>
      </c>
      <c r="D471" t="s">
        <v>42</v>
      </c>
      <c r="E471" t="s">
        <v>20</v>
      </c>
      <c r="F471" t="s">
        <v>44</v>
      </c>
      <c r="G471" t="s">
        <v>22</v>
      </c>
      <c r="H471">
        <v>34</v>
      </c>
      <c r="I471">
        <v>348</v>
      </c>
      <c r="J471">
        <v>11832</v>
      </c>
      <c r="K471">
        <v>191</v>
      </c>
      <c r="L471">
        <v>6494</v>
      </c>
      <c r="M471">
        <v>5338</v>
      </c>
    </row>
    <row r="472" spans="1:13">
      <c r="A472">
        <v>471</v>
      </c>
      <c r="B472" s="65535">
        <v>44943</v>
      </c>
      <c r="C472" t="s">
        <v>26</v>
      </c>
      <c r="D472" t="s">
        <v>27</v>
      </c>
      <c r="E472" t="s">
        <v>30</v>
      </c>
      <c r="F472" t="s">
        <v>37</v>
      </c>
      <c r="G472" t="s">
        <v>17</v>
      </c>
      <c r="H472">
        <v>423</v>
      </c>
      <c r="I472">
        <v>721</v>
      </c>
      <c r="J472">
        <v>304983</v>
      </c>
      <c r="K472">
        <v>445</v>
      </c>
      <c r="L472">
        <v>188235</v>
      </c>
      <c r="M472">
        <v>116748</v>
      </c>
    </row>
    <row r="473" spans="1:13">
      <c r="A473">
        <v>472</v>
      </c>
      <c r="B473" s="65535">
        <v>45041</v>
      </c>
      <c r="C473" t="s">
        <v>13</v>
      </c>
      <c r="D473" t="s">
        <v>14</v>
      </c>
      <c r="E473" t="s">
        <v>30</v>
      </c>
      <c r="F473" t="s">
        <v>37</v>
      </c>
      <c r="G473" t="s">
        <v>17</v>
      </c>
      <c r="H473">
        <v>259</v>
      </c>
      <c r="I473">
        <v>2312</v>
      </c>
      <c r="J473">
        <v>598808</v>
      </c>
      <c r="K473">
        <v>1493</v>
      </c>
      <c r="L473">
        <v>386687</v>
      </c>
      <c r="M473">
        <v>212121</v>
      </c>
    </row>
    <row r="474" spans="1:13">
      <c r="A474">
        <v>473</v>
      </c>
      <c r="B474" s="65535">
        <v>45190</v>
      </c>
      <c r="C474" t="s">
        <v>26</v>
      </c>
      <c r="D474" t="s">
        <v>51</v>
      </c>
      <c r="E474" t="s">
        <v>20</v>
      </c>
      <c r="F474" t="s">
        <v>44</v>
      </c>
      <c r="G474" t="s">
        <v>17</v>
      </c>
      <c r="H474">
        <v>319</v>
      </c>
      <c r="I474">
        <v>1053</v>
      </c>
      <c r="J474">
        <v>335907</v>
      </c>
      <c r="K474">
        <v>823</v>
      </c>
      <c r="L474">
        <v>262537</v>
      </c>
      <c r="M474">
        <v>73370</v>
      </c>
    </row>
    <row r="475" spans="1:13">
      <c r="A475">
        <v>474</v>
      </c>
      <c r="B475" s="65535">
        <v>45239</v>
      </c>
      <c r="C475" t="s">
        <v>33</v>
      </c>
      <c r="D475" t="s">
        <v>34</v>
      </c>
      <c r="E475" t="s">
        <v>24</v>
      </c>
      <c r="F475" t="s">
        <v>25</v>
      </c>
      <c r="G475" t="s">
        <v>22</v>
      </c>
      <c r="H475">
        <v>322</v>
      </c>
      <c r="I475">
        <v>1034</v>
      </c>
      <c r="J475">
        <v>332948</v>
      </c>
      <c r="K475">
        <v>943</v>
      </c>
      <c r="L475">
        <v>303646</v>
      </c>
      <c r="M475">
        <v>29302</v>
      </c>
    </row>
    <row r="476" spans="1:13">
      <c r="A476">
        <v>475</v>
      </c>
      <c r="B476" s="65535">
        <v>45032</v>
      </c>
      <c r="C476" t="s">
        <v>33</v>
      </c>
      <c r="D476" t="s">
        <v>39</v>
      </c>
      <c r="E476" t="s">
        <v>30</v>
      </c>
      <c r="F476" t="s">
        <v>31</v>
      </c>
      <c r="G476" t="s">
        <v>22</v>
      </c>
      <c r="H476">
        <v>476</v>
      </c>
      <c r="I476">
        <v>3162</v>
      </c>
      <c r="J476">
        <v>1505112</v>
      </c>
      <c r="K476">
        <v>743</v>
      </c>
      <c r="L476">
        <v>353668</v>
      </c>
      <c r="M476">
        <v>1151444</v>
      </c>
    </row>
    <row r="477" spans="1:13">
      <c r="A477">
        <v>476</v>
      </c>
      <c r="B477" s="65535">
        <v>45005</v>
      </c>
      <c r="C477" t="s">
        <v>26</v>
      </c>
      <c r="D477" t="s">
        <v>45</v>
      </c>
      <c r="E477" t="s">
        <v>24</v>
      </c>
      <c r="F477" t="s">
        <v>35</v>
      </c>
      <c r="G477" t="s">
        <v>22</v>
      </c>
      <c r="H477">
        <v>341</v>
      </c>
      <c r="I477">
        <v>3179</v>
      </c>
      <c r="J477">
        <v>1084039</v>
      </c>
      <c r="K477">
        <v>1470</v>
      </c>
      <c r="L477">
        <v>501270</v>
      </c>
      <c r="M477">
        <v>582769</v>
      </c>
    </row>
    <row r="478" spans="1:13">
      <c r="A478">
        <v>477</v>
      </c>
      <c r="B478" s="65535">
        <v>44930</v>
      </c>
      <c r="C478" t="s">
        <v>18</v>
      </c>
      <c r="D478" t="s">
        <v>50</v>
      </c>
      <c r="E478" t="s">
        <v>30</v>
      </c>
      <c r="F478" t="s">
        <v>40</v>
      </c>
      <c r="G478" t="s">
        <v>32</v>
      </c>
      <c r="H478">
        <v>135</v>
      </c>
      <c r="I478">
        <v>4080</v>
      </c>
      <c r="J478">
        <v>550800</v>
      </c>
      <c r="K478">
        <v>1498</v>
      </c>
      <c r="L478">
        <v>202230</v>
      </c>
      <c r="M478">
        <v>348570</v>
      </c>
    </row>
    <row r="479" spans="1:13">
      <c r="A479">
        <v>478</v>
      </c>
      <c r="B479" s="65535">
        <v>45139</v>
      </c>
      <c r="C479" t="s">
        <v>26</v>
      </c>
      <c r="D479" t="s">
        <v>36</v>
      </c>
      <c r="E479" t="s">
        <v>15</v>
      </c>
      <c r="F479" t="s">
        <v>29</v>
      </c>
      <c r="G479" t="s">
        <v>32</v>
      </c>
      <c r="H479">
        <v>194</v>
      </c>
      <c r="I479">
        <v>2210</v>
      </c>
      <c r="J479">
        <v>428740</v>
      </c>
      <c r="K479">
        <v>720</v>
      </c>
      <c r="L479">
        <v>139680</v>
      </c>
      <c r="M479">
        <v>289060</v>
      </c>
    </row>
    <row r="480" spans="1:13">
      <c r="A480">
        <v>479</v>
      </c>
      <c r="B480" s="65535">
        <v>45136</v>
      </c>
      <c r="C480" t="s">
        <v>13</v>
      </c>
      <c r="D480" t="s">
        <v>43</v>
      </c>
      <c r="E480" t="s">
        <v>30</v>
      </c>
      <c r="F480" t="s">
        <v>40</v>
      </c>
      <c r="G480" t="s">
        <v>32</v>
      </c>
      <c r="H480">
        <v>469</v>
      </c>
      <c r="I480">
        <v>3958</v>
      </c>
      <c r="J480">
        <v>1856302</v>
      </c>
      <c r="K480">
        <v>3591</v>
      </c>
      <c r="L480">
        <v>1684179</v>
      </c>
      <c r="M480">
        <v>172123</v>
      </c>
    </row>
    <row r="481" spans="1:13">
      <c r="A481">
        <v>480</v>
      </c>
      <c r="B481" s="65535">
        <v>45191</v>
      </c>
      <c r="C481" t="s">
        <v>26</v>
      </c>
      <c r="D481" t="s">
        <v>51</v>
      </c>
      <c r="E481" t="s">
        <v>24</v>
      </c>
      <c r="F481" t="s">
        <v>25</v>
      </c>
      <c r="G481" t="s">
        <v>22</v>
      </c>
      <c r="H481">
        <v>493</v>
      </c>
      <c r="I481">
        <v>770</v>
      </c>
      <c r="J481">
        <v>379610</v>
      </c>
      <c r="K481">
        <v>186</v>
      </c>
      <c r="L481">
        <v>91698</v>
      </c>
      <c r="M481">
        <v>287912</v>
      </c>
    </row>
    <row r="482" spans="1:13">
      <c r="A482">
        <v>481</v>
      </c>
      <c r="B482" s="65535">
        <v>44958</v>
      </c>
      <c r="C482" t="s">
        <v>26</v>
      </c>
      <c r="D482" t="s">
        <v>27</v>
      </c>
      <c r="E482" t="s">
        <v>24</v>
      </c>
      <c r="F482" t="s">
        <v>25</v>
      </c>
      <c r="G482" t="s">
        <v>32</v>
      </c>
      <c r="H482">
        <v>211</v>
      </c>
      <c r="I482">
        <v>503</v>
      </c>
      <c r="J482">
        <v>106133</v>
      </c>
      <c r="K482">
        <v>438</v>
      </c>
      <c r="L482">
        <v>92418</v>
      </c>
      <c r="M482">
        <v>13715</v>
      </c>
    </row>
    <row r="483" spans="1:13">
      <c r="A483">
        <v>482</v>
      </c>
      <c r="B483" s="65535">
        <v>45275</v>
      </c>
      <c r="C483" t="s">
        <v>18</v>
      </c>
      <c r="D483" t="s">
        <v>50</v>
      </c>
      <c r="E483" t="s">
        <v>20</v>
      </c>
      <c r="F483" t="s">
        <v>21</v>
      </c>
      <c r="G483" t="s">
        <v>32</v>
      </c>
      <c r="H483">
        <v>368</v>
      </c>
      <c r="I483">
        <v>4735</v>
      </c>
      <c r="J483">
        <v>1742480</v>
      </c>
      <c r="K483">
        <v>2593</v>
      </c>
      <c r="L483">
        <v>954224</v>
      </c>
      <c r="M483">
        <v>788256</v>
      </c>
    </row>
    <row r="484" spans="1:13">
      <c r="A484">
        <v>483</v>
      </c>
      <c r="B484" s="65535">
        <v>45239</v>
      </c>
      <c r="C484" t="s">
        <v>26</v>
      </c>
      <c r="D484" t="s">
        <v>27</v>
      </c>
      <c r="E484" t="s">
        <v>15</v>
      </c>
      <c r="F484" t="s">
        <v>29</v>
      </c>
      <c r="G484" t="s">
        <v>17</v>
      </c>
      <c r="H484">
        <v>481</v>
      </c>
      <c r="I484">
        <v>1403</v>
      </c>
      <c r="J484">
        <v>674843</v>
      </c>
      <c r="K484">
        <v>927</v>
      </c>
      <c r="L484">
        <v>445887</v>
      </c>
      <c r="M484">
        <v>228956</v>
      </c>
    </row>
    <row r="485" spans="1:13">
      <c r="A485">
        <v>484</v>
      </c>
      <c r="B485" s="65535">
        <v>45259</v>
      </c>
      <c r="C485" t="s">
        <v>13</v>
      </c>
      <c r="D485" t="s">
        <v>43</v>
      </c>
      <c r="E485" t="s">
        <v>24</v>
      </c>
      <c r="F485" t="s">
        <v>35</v>
      </c>
      <c r="G485" t="s">
        <v>32</v>
      </c>
      <c r="H485">
        <v>217</v>
      </c>
      <c r="I485">
        <v>1816</v>
      </c>
      <c r="J485">
        <v>394072</v>
      </c>
      <c r="K485">
        <v>717</v>
      </c>
      <c r="L485">
        <v>155589</v>
      </c>
      <c r="M485">
        <v>238483</v>
      </c>
    </row>
    <row r="486" spans="1:13">
      <c r="A486">
        <v>485</v>
      </c>
      <c r="B486" s="65535">
        <v>44991</v>
      </c>
      <c r="C486" t="s">
        <v>33</v>
      </c>
      <c r="D486" t="s">
        <v>39</v>
      </c>
      <c r="E486" t="s">
        <v>20</v>
      </c>
      <c r="F486" t="s">
        <v>21</v>
      </c>
      <c r="G486" t="s">
        <v>17</v>
      </c>
      <c r="H486">
        <v>276</v>
      </c>
      <c r="I486">
        <v>4630</v>
      </c>
      <c r="J486">
        <v>1277880</v>
      </c>
      <c r="K486">
        <v>2425</v>
      </c>
      <c r="L486">
        <v>669300</v>
      </c>
      <c r="M486">
        <v>608580</v>
      </c>
    </row>
    <row r="487" spans="1:13">
      <c r="A487">
        <v>486</v>
      </c>
      <c r="B487" s="65535">
        <v>45252</v>
      </c>
      <c r="C487" t="s">
        <v>18</v>
      </c>
      <c r="D487" t="s">
        <v>50</v>
      </c>
      <c r="E487" t="s">
        <v>20</v>
      </c>
      <c r="F487" t="s">
        <v>28</v>
      </c>
      <c r="G487" t="s">
        <v>32</v>
      </c>
      <c r="H487">
        <v>91</v>
      </c>
      <c r="I487">
        <v>391</v>
      </c>
      <c r="J487">
        <v>35581</v>
      </c>
      <c r="K487">
        <v>107</v>
      </c>
      <c r="L487">
        <v>9737</v>
      </c>
      <c r="M487">
        <v>25844</v>
      </c>
    </row>
    <row r="488" spans="1:13">
      <c r="A488">
        <v>487</v>
      </c>
      <c r="B488" s="65535">
        <v>45185</v>
      </c>
      <c r="C488" t="s">
        <v>26</v>
      </c>
      <c r="D488" t="s">
        <v>36</v>
      </c>
      <c r="E488" t="s">
        <v>20</v>
      </c>
      <c r="F488" t="s">
        <v>28</v>
      </c>
      <c r="G488" t="s">
        <v>32</v>
      </c>
      <c r="H488">
        <v>66</v>
      </c>
      <c r="I488">
        <v>691</v>
      </c>
      <c r="J488">
        <v>45606</v>
      </c>
      <c r="K488">
        <v>481</v>
      </c>
      <c r="L488">
        <v>31746</v>
      </c>
      <c r="M488">
        <v>13860</v>
      </c>
    </row>
    <row r="489" spans="1:13">
      <c r="A489">
        <v>488</v>
      </c>
      <c r="B489" s="65535">
        <v>44990</v>
      </c>
      <c r="C489" t="s">
        <v>26</v>
      </c>
      <c r="D489" t="s">
        <v>27</v>
      </c>
      <c r="E489" t="s">
        <v>15</v>
      </c>
      <c r="F489" t="s">
        <v>16</v>
      </c>
      <c r="G489" t="s">
        <v>17</v>
      </c>
      <c r="H489">
        <v>239</v>
      </c>
      <c r="I489">
        <v>2640</v>
      </c>
      <c r="J489">
        <v>630960</v>
      </c>
      <c r="K489">
        <v>2444</v>
      </c>
      <c r="L489">
        <v>584116</v>
      </c>
      <c r="M489">
        <v>46844</v>
      </c>
    </row>
    <row r="490" spans="1:13">
      <c r="A490">
        <v>489</v>
      </c>
      <c r="B490" s="65535">
        <v>45224</v>
      </c>
      <c r="C490" t="s">
        <v>33</v>
      </c>
      <c r="D490" t="s">
        <v>34</v>
      </c>
      <c r="E490" t="s">
        <v>20</v>
      </c>
      <c r="F490" t="s">
        <v>44</v>
      </c>
      <c r="G490" t="s">
        <v>17</v>
      </c>
      <c r="H490">
        <v>299</v>
      </c>
      <c r="I490">
        <v>4568</v>
      </c>
      <c r="J490">
        <v>1365832</v>
      </c>
      <c r="K490">
        <v>2015</v>
      </c>
      <c r="L490">
        <v>602485</v>
      </c>
      <c r="M490">
        <v>763347</v>
      </c>
    </row>
    <row r="491" spans="1:13">
      <c r="A491">
        <v>490</v>
      </c>
      <c r="B491" s="65535">
        <v>45220</v>
      </c>
      <c r="C491" t="s">
        <v>26</v>
      </c>
      <c r="D491" t="s">
        <v>27</v>
      </c>
      <c r="E491" t="s">
        <v>20</v>
      </c>
      <c r="F491" t="s">
        <v>28</v>
      </c>
      <c r="G491" t="s">
        <v>17</v>
      </c>
      <c r="H491">
        <v>354</v>
      </c>
      <c r="I491">
        <v>1346</v>
      </c>
      <c r="J491">
        <v>476484</v>
      </c>
      <c r="K491">
        <v>873</v>
      </c>
      <c r="L491">
        <v>309042</v>
      </c>
      <c r="M491">
        <v>167442</v>
      </c>
    </row>
    <row r="492" spans="1:13">
      <c r="A492">
        <v>491</v>
      </c>
      <c r="B492" s="65535">
        <v>45025</v>
      </c>
      <c r="C492" t="s">
        <v>18</v>
      </c>
      <c r="D492" t="s">
        <v>50</v>
      </c>
      <c r="E492" t="s">
        <v>20</v>
      </c>
      <c r="F492" t="s">
        <v>28</v>
      </c>
      <c r="G492" t="s">
        <v>17</v>
      </c>
      <c r="H492">
        <v>431</v>
      </c>
      <c r="I492">
        <v>3159</v>
      </c>
      <c r="J492">
        <v>1361529</v>
      </c>
      <c r="K492">
        <v>1960</v>
      </c>
      <c r="L492">
        <v>844760</v>
      </c>
      <c r="M492">
        <v>516769</v>
      </c>
    </row>
    <row r="493" spans="1:13">
      <c r="A493">
        <v>492</v>
      </c>
      <c r="B493" s="65535">
        <v>44974</v>
      </c>
      <c r="C493" t="s">
        <v>33</v>
      </c>
      <c r="D493" t="s">
        <v>46</v>
      </c>
      <c r="E493" t="s">
        <v>24</v>
      </c>
      <c r="F493" t="s">
        <v>48</v>
      </c>
      <c r="G493" t="s">
        <v>22</v>
      </c>
      <c r="H493">
        <v>41</v>
      </c>
      <c r="I493">
        <v>3680</v>
      </c>
      <c r="J493">
        <v>150880</v>
      </c>
      <c r="K493">
        <v>632</v>
      </c>
      <c r="L493">
        <v>25912</v>
      </c>
      <c r="M493">
        <v>124968</v>
      </c>
    </row>
    <row r="494" spans="1:13">
      <c r="A494">
        <v>493</v>
      </c>
      <c r="B494" s="65535">
        <v>45273</v>
      </c>
      <c r="C494" t="s">
        <v>13</v>
      </c>
      <c r="D494" t="s">
        <v>43</v>
      </c>
      <c r="E494" t="s">
        <v>24</v>
      </c>
      <c r="F494" t="s">
        <v>25</v>
      </c>
      <c r="G494" t="s">
        <v>32</v>
      </c>
      <c r="H494">
        <v>279</v>
      </c>
      <c r="I494">
        <v>3499</v>
      </c>
      <c r="J494">
        <v>976221</v>
      </c>
      <c r="K494">
        <v>2509</v>
      </c>
      <c r="L494">
        <v>700011</v>
      </c>
      <c r="M494">
        <v>276210</v>
      </c>
    </row>
    <row r="495" spans="1:13">
      <c r="A495">
        <v>494</v>
      </c>
      <c r="B495" s="65535">
        <v>45152</v>
      </c>
      <c r="C495" t="s">
        <v>13</v>
      </c>
      <c r="D495" t="s">
        <v>23</v>
      </c>
      <c r="E495" t="s">
        <v>24</v>
      </c>
      <c r="F495" t="s">
        <v>35</v>
      </c>
      <c r="G495" t="s">
        <v>32</v>
      </c>
      <c r="H495">
        <v>362</v>
      </c>
      <c r="I495">
        <v>4210</v>
      </c>
      <c r="J495">
        <v>1524020</v>
      </c>
      <c r="K495">
        <v>3097</v>
      </c>
      <c r="L495">
        <v>1121114</v>
      </c>
      <c r="M495">
        <v>402906</v>
      </c>
    </row>
    <row r="496" spans="1:13">
      <c r="A496">
        <v>495</v>
      </c>
      <c r="B496" s="65535">
        <v>45175</v>
      </c>
      <c r="C496" t="s">
        <v>13</v>
      </c>
      <c r="D496" t="s">
        <v>43</v>
      </c>
      <c r="E496" t="s">
        <v>30</v>
      </c>
      <c r="F496" t="s">
        <v>31</v>
      </c>
      <c r="G496" t="s">
        <v>22</v>
      </c>
      <c r="H496">
        <v>374</v>
      </c>
      <c r="I496">
        <v>3949</v>
      </c>
      <c r="J496">
        <v>1476926</v>
      </c>
      <c r="K496">
        <v>629</v>
      </c>
      <c r="L496">
        <v>235246</v>
      </c>
      <c r="M496">
        <v>1241680</v>
      </c>
    </row>
    <row r="497" spans="1:13">
      <c r="A497">
        <v>496</v>
      </c>
      <c r="B497" s="65535">
        <v>45007</v>
      </c>
      <c r="C497" t="s">
        <v>33</v>
      </c>
      <c r="D497" t="s">
        <v>46</v>
      </c>
      <c r="E497" t="s">
        <v>24</v>
      </c>
      <c r="F497" t="s">
        <v>48</v>
      </c>
      <c r="G497" t="s">
        <v>22</v>
      </c>
      <c r="H497">
        <v>493</v>
      </c>
      <c r="I497">
        <v>4779</v>
      </c>
      <c r="J497">
        <v>2356047</v>
      </c>
      <c r="K497">
        <v>3125</v>
      </c>
      <c r="L497">
        <v>1540625</v>
      </c>
      <c r="M497">
        <v>815422</v>
      </c>
    </row>
    <row r="498" spans="1:13">
      <c r="A498">
        <v>497</v>
      </c>
      <c r="B498" s="65535">
        <v>45219</v>
      </c>
      <c r="C498" t="s">
        <v>33</v>
      </c>
      <c r="D498" t="s">
        <v>34</v>
      </c>
      <c r="E498" t="s">
        <v>15</v>
      </c>
      <c r="F498" t="s">
        <v>16</v>
      </c>
      <c r="G498" t="s">
        <v>32</v>
      </c>
      <c r="H498">
        <v>158</v>
      </c>
      <c r="I498">
        <v>529</v>
      </c>
      <c r="J498">
        <v>83582</v>
      </c>
      <c r="K498">
        <v>367</v>
      </c>
      <c r="L498">
        <v>57986</v>
      </c>
      <c r="M498">
        <v>25596</v>
      </c>
    </row>
    <row r="499" spans="1:13">
      <c r="A499">
        <v>498</v>
      </c>
      <c r="B499" s="65535">
        <v>45082</v>
      </c>
      <c r="C499" t="s">
        <v>18</v>
      </c>
      <c r="D499" t="s">
        <v>50</v>
      </c>
      <c r="E499" t="s">
        <v>20</v>
      </c>
      <c r="F499" t="s">
        <v>21</v>
      </c>
      <c r="G499" t="s">
        <v>32</v>
      </c>
      <c r="H499">
        <v>160</v>
      </c>
      <c r="I499">
        <v>4180</v>
      </c>
      <c r="J499">
        <v>668800</v>
      </c>
      <c r="K499">
        <v>214</v>
      </c>
      <c r="L499">
        <v>34240</v>
      </c>
      <c r="M499">
        <v>634560</v>
      </c>
    </row>
    <row r="500" spans="1:13">
      <c r="A500">
        <v>499</v>
      </c>
      <c r="B500" s="65535">
        <v>45072</v>
      </c>
      <c r="C500" t="s">
        <v>18</v>
      </c>
      <c r="D500" t="s">
        <v>38</v>
      </c>
      <c r="E500" t="s">
        <v>24</v>
      </c>
      <c r="F500" t="s">
        <v>25</v>
      </c>
      <c r="G500" t="s">
        <v>32</v>
      </c>
      <c r="H500">
        <v>120</v>
      </c>
      <c r="I500">
        <v>1699</v>
      </c>
      <c r="J500">
        <v>203880</v>
      </c>
      <c r="K500">
        <v>1614</v>
      </c>
      <c r="L500">
        <v>193680</v>
      </c>
      <c r="M500">
        <v>10200</v>
      </c>
    </row>
    <row r="501" spans="1:13">
      <c r="A501">
        <v>500</v>
      </c>
      <c r="B501" s="65535">
        <v>44961</v>
      </c>
      <c r="C501" t="s">
        <v>13</v>
      </c>
      <c r="D501" t="s">
        <v>14</v>
      </c>
      <c r="E501" t="s">
        <v>15</v>
      </c>
      <c r="F501" t="s">
        <v>49</v>
      </c>
      <c r="G501" t="s">
        <v>32</v>
      </c>
      <c r="H501">
        <v>455</v>
      </c>
      <c r="I501">
        <v>566</v>
      </c>
      <c r="J501">
        <v>257530</v>
      </c>
      <c r="K501">
        <v>313</v>
      </c>
      <c r="L501">
        <v>142415</v>
      </c>
      <c r="M501">
        <v>115115</v>
      </c>
    </row>
    <row r="502" spans="1:13">
      <c r="A502">
        <v>501</v>
      </c>
      <c r="B502" s="65535">
        <v>45170</v>
      </c>
      <c r="C502" t="s">
        <v>13</v>
      </c>
      <c r="D502" t="s">
        <v>23</v>
      </c>
      <c r="E502" t="s">
        <v>24</v>
      </c>
      <c r="F502" t="s">
        <v>48</v>
      </c>
      <c r="G502" t="s">
        <v>32</v>
      </c>
      <c r="H502">
        <v>437</v>
      </c>
      <c r="I502">
        <v>1287</v>
      </c>
      <c r="J502">
        <v>562419</v>
      </c>
      <c r="K502">
        <v>383</v>
      </c>
      <c r="L502">
        <v>167371</v>
      </c>
      <c r="M502">
        <v>395048</v>
      </c>
    </row>
    <row r="503" spans="1:13">
      <c r="A503">
        <v>502</v>
      </c>
      <c r="B503" s="65535">
        <v>45093</v>
      </c>
      <c r="C503" t="s">
        <v>13</v>
      </c>
      <c r="D503" t="s">
        <v>42</v>
      </c>
      <c r="E503" t="s">
        <v>24</v>
      </c>
      <c r="F503" t="s">
        <v>25</v>
      </c>
      <c r="G503" t="s">
        <v>17</v>
      </c>
      <c r="H503">
        <v>55</v>
      </c>
      <c r="I503">
        <v>3555</v>
      </c>
      <c r="J503">
        <v>195525</v>
      </c>
      <c r="K503">
        <v>1686</v>
      </c>
      <c r="L503">
        <v>92730</v>
      </c>
      <c r="M503">
        <v>102795</v>
      </c>
    </row>
    <row r="504" spans="1:13">
      <c r="A504">
        <v>503</v>
      </c>
      <c r="B504" s="65535">
        <v>45270</v>
      </c>
      <c r="C504" t="s">
        <v>18</v>
      </c>
      <c r="D504" t="s">
        <v>19</v>
      </c>
      <c r="E504" t="s">
        <v>20</v>
      </c>
      <c r="F504" t="s">
        <v>28</v>
      </c>
      <c r="G504" t="s">
        <v>22</v>
      </c>
      <c r="H504">
        <v>465</v>
      </c>
      <c r="I504">
        <v>3829</v>
      </c>
      <c r="J504">
        <v>1780485</v>
      </c>
      <c r="K504">
        <v>3114</v>
      </c>
      <c r="L504">
        <v>1448010</v>
      </c>
      <c r="M504">
        <v>332475</v>
      </c>
    </row>
    <row r="505" spans="1:13">
      <c r="A505">
        <v>504</v>
      </c>
      <c r="B505" s="65535">
        <v>45219</v>
      </c>
      <c r="C505" t="s">
        <v>26</v>
      </c>
      <c r="D505" t="s">
        <v>51</v>
      </c>
      <c r="E505" t="s">
        <v>30</v>
      </c>
      <c r="F505" t="s">
        <v>31</v>
      </c>
      <c r="G505" t="s">
        <v>22</v>
      </c>
      <c r="H505">
        <v>332</v>
      </c>
      <c r="I505">
        <v>2730</v>
      </c>
      <c r="J505">
        <v>906360</v>
      </c>
      <c r="K505">
        <v>2398</v>
      </c>
      <c r="L505">
        <v>796136</v>
      </c>
      <c r="M505">
        <v>110224</v>
      </c>
    </row>
    <row r="506" spans="1:13">
      <c r="A506">
        <v>505</v>
      </c>
      <c r="B506" s="65535">
        <v>45222</v>
      </c>
      <c r="C506" t="s">
        <v>33</v>
      </c>
      <c r="D506" t="s">
        <v>39</v>
      </c>
      <c r="E506" t="s">
        <v>30</v>
      </c>
      <c r="F506" t="s">
        <v>31</v>
      </c>
      <c r="G506" t="s">
        <v>17</v>
      </c>
      <c r="H506">
        <v>397</v>
      </c>
      <c r="I506">
        <v>633</v>
      </c>
      <c r="J506">
        <v>251301</v>
      </c>
      <c r="K506">
        <v>391</v>
      </c>
      <c r="L506">
        <v>155227</v>
      </c>
      <c r="M506">
        <v>96074</v>
      </c>
    </row>
    <row r="507" spans="1:13">
      <c r="A507">
        <v>506</v>
      </c>
      <c r="B507" s="65535">
        <v>45199</v>
      </c>
      <c r="C507" t="s">
        <v>18</v>
      </c>
      <c r="D507" t="s">
        <v>19</v>
      </c>
      <c r="E507" t="s">
        <v>15</v>
      </c>
      <c r="F507" t="s">
        <v>16</v>
      </c>
      <c r="G507" t="s">
        <v>17</v>
      </c>
      <c r="H507">
        <v>102</v>
      </c>
      <c r="I507">
        <v>355</v>
      </c>
      <c r="J507">
        <v>36210</v>
      </c>
      <c r="K507">
        <v>170</v>
      </c>
      <c r="L507">
        <v>17340</v>
      </c>
      <c r="M507">
        <v>18870</v>
      </c>
    </row>
    <row r="508" spans="1:13">
      <c r="A508">
        <v>507</v>
      </c>
      <c r="B508" s="65535">
        <v>45237</v>
      </c>
      <c r="C508" t="s">
        <v>18</v>
      </c>
      <c r="D508" t="s">
        <v>38</v>
      </c>
      <c r="E508" t="s">
        <v>24</v>
      </c>
      <c r="F508" t="s">
        <v>25</v>
      </c>
      <c r="G508" t="s">
        <v>17</v>
      </c>
      <c r="H508">
        <v>174</v>
      </c>
      <c r="I508">
        <v>3491</v>
      </c>
      <c r="J508">
        <v>607434</v>
      </c>
      <c r="K508">
        <v>2512</v>
      </c>
      <c r="L508">
        <v>437088</v>
      </c>
      <c r="M508">
        <v>170346</v>
      </c>
    </row>
    <row r="509" spans="1:13">
      <c r="A509">
        <v>508</v>
      </c>
      <c r="B509" s="65535">
        <v>45019</v>
      </c>
      <c r="C509" t="s">
        <v>33</v>
      </c>
      <c r="D509" t="s">
        <v>34</v>
      </c>
      <c r="E509" t="s">
        <v>15</v>
      </c>
      <c r="F509" t="s">
        <v>29</v>
      </c>
      <c r="G509" t="s">
        <v>32</v>
      </c>
      <c r="H509">
        <v>222</v>
      </c>
      <c r="I509">
        <v>397</v>
      </c>
      <c r="J509">
        <v>88134</v>
      </c>
      <c r="K509">
        <v>320</v>
      </c>
      <c r="L509">
        <v>71040</v>
      </c>
      <c r="M509">
        <v>17094</v>
      </c>
    </row>
    <row r="510" spans="1:13">
      <c r="A510">
        <v>509</v>
      </c>
      <c r="B510" s="65535">
        <v>44977</v>
      </c>
      <c r="C510" t="s">
        <v>26</v>
      </c>
      <c r="D510" t="s">
        <v>45</v>
      </c>
      <c r="E510" t="s">
        <v>20</v>
      </c>
      <c r="F510" t="s">
        <v>44</v>
      </c>
      <c r="G510" t="s">
        <v>22</v>
      </c>
      <c r="H510">
        <v>287</v>
      </c>
      <c r="I510">
        <v>1577</v>
      </c>
      <c r="J510">
        <v>452599</v>
      </c>
      <c r="K510">
        <v>684</v>
      </c>
      <c r="L510">
        <v>196308</v>
      </c>
      <c r="M510">
        <v>256291</v>
      </c>
    </row>
    <row r="511" spans="1:13">
      <c r="A511">
        <v>510</v>
      </c>
      <c r="B511" s="65535">
        <v>45084</v>
      </c>
      <c r="C511" t="s">
        <v>18</v>
      </c>
      <c r="D511" t="s">
        <v>38</v>
      </c>
      <c r="E511" t="s">
        <v>20</v>
      </c>
      <c r="F511" t="s">
        <v>44</v>
      </c>
      <c r="G511" t="s">
        <v>22</v>
      </c>
      <c r="H511">
        <v>497</v>
      </c>
      <c r="I511">
        <v>3536</v>
      </c>
      <c r="J511">
        <v>1757392</v>
      </c>
      <c r="K511">
        <v>2879</v>
      </c>
      <c r="L511">
        <v>1430863</v>
      </c>
      <c r="M511">
        <v>326529</v>
      </c>
    </row>
    <row r="512" spans="1:13">
      <c r="A512">
        <v>511</v>
      </c>
      <c r="B512" s="65535">
        <v>45292</v>
      </c>
      <c r="C512" t="s">
        <v>18</v>
      </c>
      <c r="D512" t="s">
        <v>50</v>
      </c>
      <c r="E512" t="s">
        <v>20</v>
      </c>
      <c r="F512" t="s">
        <v>44</v>
      </c>
      <c r="G512" t="s">
        <v>22</v>
      </c>
      <c r="H512">
        <v>39</v>
      </c>
      <c r="I512">
        <v>2641</v>
      </c>
      <c r="J512">
        <v>102999</v>
      </c>
      <c r="K512">
        <v>1697</v>
      </c>
      <c r="L512">
        <v>66183</v>
      </c>
      <c r="M512">
        <v>36816</v>
      </c>
    </row>
    <row r="513" spans="1:13">
      <c r="A513">
        <v>512</v>
      </c>
      <c r="B513" s="65535">
        <v>45059</v>
      </c>
      <c r="C513" t="s">
        <v>33</v>
      </c>
      <c r="D513" t="s">
        <v>41</v>
      </c>
      <c r="E513" t="s">
        <v>30</v>
      </c>
      <c r="F513" t="s">
        <v>40</v>
      </c>
      <c r="G513" t="s">
        <v>32</v>
      </c>
      <c r="H513">
        <v>202</v>
      </c>
      <c r="I513">
        <v>1190</v>
      </c>
      <c r="J513">
        <v>240380</v>
      </c>
      <c r="K513">
        <v>206</v>
      </c>
      <c r="L513">
        <v>41612</v>
      </c>
      <c r="M513">
        <v>198768</v>
      </c>
    </row>
    <row r="514" spans="1:13">
      <c r="A514">
        <v>513</v>
      </c>
      <c r="B514" s="65535">
        <v>45185</v>
      </c>
      <c r="C514" t="s">
        <v>18</v>
      </c>
      <c r="D514" t="s">
        <v>38</v>
      </c>
      <c r="E514" t="s">
        <v>30</v>
      </c>
      <c r="F514" t="s">
        <v>40</v>
      </c>
      <c r="G514" t="s">
        <v>17</v>
      </c>
      <c r="H514">
        <v>207</v>
      </c>
      <c r="I514">
        <v>1142</v>
      </c>
      <c r="J514">
        <v>236394</v>
      </c>
      <c r="K514">
        <v>375</v>
      </c>
      <c r="L514">
        <v>77625</v>
      </c>
      <c r="M514">
        <v>158769</v>
      </c>
    </row>
    <row r="515" spans="1:13">
      <c r="A515">
        <v>514</v>
      </c>
      <c r="B515" s="65535">
        <v>44960</v>
      </c>
      <c r="C515" t="s">
        <v>33</v>
      </c>
      <c r="D515" t="s">
        <v>41</v>
      </c>
      <c r="E515" t="s">
        <v>24</v>
      </c>
      <c r="F515" t="s">
        <v>35</v>
      </c>
      <c r="G515" t="s">
        <v>32</v>
      </c>
      <c r="H515">
        <v>257</v>
      </c>
      <c r="I515">
        <v>436</v>
      </c>
      <c r="J515">
        <v>112052</v>
      </c>
      <c r="K515">
        <v>308</v>
      </c>
      <c r="L515">
        <v>79156</v>
      </c>
      <c r="M515">
        <v>32896</v>
      </c>
    </row>
    <row r="516" spans="1:13">
      <c r="A516">
        <v>515</v>
      </c>
      <c r="B516" s="65535">
        <v>45272</v>
      </c>
      <c r="C516" t="s">
        <v>18</v>
      </c>
      <c r="D516" t="s">
        <v>50</v>
      </c>
      <c r="E516" t="s">
        <v>20</v>
      </c>
      <c r="F516" t="s">
        <v>28</v>
      </c>
      <c r="G516" t="s">
        <v>17</v>
      </c>
      <c r="H516">
        <v>61</v>
      </c>
      <c r="I516">
        <v>2217</v>
      </c>
      <c r="J516">
        <v>135237</v>
      </c>
      <c r="K516">
        <v>614</v>
      </c>
      <c r="L516">
        <v>37454</v>
      </c>
      <c r="M516">
        <v>97783</v>
      </c>
    </row>
    <row r="517" spans="1:13">
      <c r="A517">
        <v>516</v>
      </c>
      <c r="B517" s="65535">
        <v>45183</v>
      </c>
      <c r="C517" t="s">
        <v>26</v>
      </c>
      <c r="D517" t="s">
        <v>45</v>
      </c>
      <c r="E517" t="s">
        <v>24</v>
      </c>
      <c r="F517" t="s">
        <v>25</v>
      </c>
      <c r="G517" t="s">
        <v>17</v>
      </c>
      <c r="H517">
        <v>114</v>
      </c>
      <c r="I517">
        <v>1366</v>
      </c>
      <c r="J517">
        <v>155724</v>
      </c>
      <c r="K517">
        <v>864</v>
      </c>
      <c r="L517">
        <v>98496</v>
      </c>
      <c r="M517">
        <v>57228</v>
      </c>
    </row>
    <row r="518" spans="1:13">
      <c r="A518">
        <v>517</v>
      </c>
      <c r="B518" s="65535">
        <v>44948</v>
      </c>
      <c r="C518" t="s">
        <v>18</v>
      </c>
      <c r="D518" t="s">
        <v>38</v>
      </c>
      <c r="E518" t="s">
        <v>24</v>
      </c>
      <c r="F518" t="s">
        <v>35</v>
      </c>
      <c r="G518" t="s">
        <v>32</v>
      </c>
      <c r="H518">
        <v>10</v>
      </c>
      <c r="I518">
        <v>4006</v>
      </c>
      <c r="J518">
        <v>40060</v>
      </c>
      <c r="K518">
        <v>3497</v>
      </c>
      <c r="L518">
        <v>34970</v>
      </c>
      <c r="M518">
        <v>5090</v>
      </c>
    </row>
    <row r="519" spans="1:13">
      <c r="A519">
        <v>518</v>
      </c>
      <c r="B519" s="65535">
        <v>45066</v>
      </c>
      <c r="C519" t="s">
        <v>26</v>
      </c>
      <c r="D519" t="s">
        <v>36</v>
      </c>
      <c r="E519" t="s">
        <v>15</v>
      </c>
      <c r="F519" t="s">
        <v>16</v>
      </c>
      <c r="G519" t="s">
        <v>32</v>
      </c>
      <c r="H519">
        <v>316</v>
      </c>
      <c r="I519">
        <v>2255</v>
      </c>
      <c r="J519">
        <v>712580</v>
      </c>
      <c r="K519">
        <v>1657</v>
      </c>
      <c r="L519">
        <v>523612</v>
      </c>
      <c r="M519">
        <v>188968</v>
      </c>
    </row>
    <row r="520" spans="1:13">
      <c r="A520">
        <v>519</v>
      </c>
      <c r="B520" s="65535">
        <v>45200</v>
      </c>
      <c r="C520" t="s">
        <v>26</v>
      </c>
      <c r="D520" t="s">
        <v>36</v>
      </c>
      <c r="E520" t="s">
        <v>20</v>
      </c>
      <c r="F520" t="s">
        <v>44</v>
      </c>
      <c r="G520" t="s">
        <v>22</v>
      </c>
      <c r="H520">
        <v>298</v>
      </c>
      <c r="I520">
        <v>772</v>
      </c>
      <c r="J520">
        <v>230056</v>
      </c>
      <c r="K520">
        <v>407</v>
      </c>
      <c r="L520">
        <v>121286</v>
      </c>
      <c r="M520">
        <v>108770</v>
      </c>
    </row>
    <row r="521" spans="1:13">
      <c r="A521">
        <v>520</v>
      </c>
      <c r="B521" s="65535">
        <v>45211</v>
      </c>
      <c r="C521" t="s">
        <v>33</v>
      </c>
      <c r="D521" t="s">
        <v>34</v>
      </c>
      <c r="E521" t="s">
        <v>15</v>
      </c>
      <c r="F521" t="s">
        <v>16</v>
      </c>
      <c r="G521" t="s">
        <v>17</v>
      </c>
      <c r="H521">
        <v>153</v>
      </c>
      <c r="I521">
        <v>3738</v>
      </c>
      <c r="J521">
        <v>571914</v>
      </c>
      <c r="K521">
        <v>963</v>
      </c>
      <c r="L521">
        <v>147339</v>
      </c>
      <c r="M521">
        <v>424575</v>
      </c>
    </row>
    <row r="522" spans="1:13">
      <c r="A522">
        <v>521</v>
      </c>
      <c r="B522" s="65535">
        <v>45066</v>
      </c>
      <c r="C522" t="s">
        <v>26</v>
      </c>
      <c r="D522" t="s">
        <v>27</v>
      </c>
      <c r="E522" t="s">
        <v>20</v>
      </c>
      <c r="F522" t="s">
        <v>28</v>
      </c>
      <c r="G522" t="s">
        <v>32</v>
      </c>
      <c r="H522">
        <v>135</v>
      </c>
      <c r="I522">
        <v>2834</v>
      </c>
      <c r="J522">
        <v>382590</v>
      </c>
      <c r="K522">
        <v>1499</v>
      </c>
      <c r="L522">
        <v>202365</v>
      </c>
      <c r="M522">
        <v>180225</v>
      </c>
    </row>
    <row r="523" spans="1:13">
      <c r="A523">
        <v>522</v>
      </c>
      <c r="B523" s="65535">
        <v>44995</v>
      </c>
      <c r="C523" t="s">
        <v>18</v>
      </c>
      <c r="D523" t="s">
        <v>19</v>
      </c>
      <c r="E523" t="s">
        <v>20</v>
      </c>
      <c r="F523" t="s">
        <v>44</v>
      </c>
      <c r="G523" t="s">
        <v>17</v>
      </c>
      <c r="H523">
        <v>340</v>
      </c>
      <c r="I523">
        <v>216</v>
      </c>
      <c r="J523">
        <v>73440</v>
      </c>
      <c r="K523">
        <v>160</v>
      </c>
      <c r="L523">
        <v>54400</v>
      </c>
      <c r="M523">
        <v>19040</v>
      </c>
    </row>
    <row r="524" spans="1:13">
      <c r="A524">
        <v>523</v>
      </c>
      <c r="B524" s="65535">
        <v>45283</v>
      </c>
      <c r="C524" t="s">
        <v>33</v>
      </c>
      <c r="D524" t="s">
        <v>39</v>
      </c>
      <c r="E524" t="s">
        <v>30</v>
      </c>
      <c r="F524" t="s">
        <v>40</v>
      </c>
      <c r="G524" t="s">
        <v>17</v>
      </c>
      <c r="H524">
        <v>370</v>
      </c>
      <c r="I524">
        <v>4205</v>
      </c>
      <c r="J524">
        <v>1555850</v>
      </c>
      <c r="K524">
        <v>3223</v>
      </c>
      <c r="L524">
        <v>1192510</v>
      </c>
      <c r="M524">
        <v>363340</v>
      </c>
    </row>
    <row r="525" spans="1:13">
      <c r="A525">
        <v>524</v>
      </c>
      <c r="B525" s="65535">
        <v>45270</v>
      </c>
      <c r="C525" t="s">
        <v>13</v>
      </c>
      <c r="D525" t="s">
        <v>14</v>
      </c>
      <c r="E525" t="s">
        <v>15</v>
      </c>
      <c r="F525" t="s">
        <v>49</v>
      </c>
      <c r="G525" t="s">
        <v>22</v>
      </c>
      <c r="H525">
        <v>237</v>
      </c>
      <c r="I525">
        <v>1211</v>
      </c>
      <c r="J525">
        <v>287007</v>
      </c>
      <c r="K525">
        <v>822</v>
      </c>
      <c r="L525">
        <v>194814</v>
      </c>
      <c r="M525">
        <v>92193</v>
      </c>
    </row>
    <row r="526" spans="1:13">
      <c r="A526">
        <v>525</v>
      </c>
      <c r="B526" s="65535">
        <v>44931</v>
      </c>
      <c r="C526" t="s">
        <v>13</v>
      </c>
      <c r="D526" t="s">
        <v>23</v>
      </c>
      <c r="E526" t="s">
        <v>24</v>
      </c>
      <c r="F526" t="s">
        <v>25</v>
      </c>
      <c r="G526" t="s">
        <v>17</v>
      </c>
      <c r="H526">
        <v>73</v>
      </c>
      <c r="I526">
        <v>3990</v>
      </c>
      <c r="J526">
        <v>291270</v>
      </c>
      <c r="K526">
        <v>1617</v>
      </c>
      <c r="L526">
        <v>118041</v>
      </c>
      <c r="M526">
        <v>173229</v>
      </c>
    </row>
    <row r="527" spans="1:13">
      <c r="A527">
        <v>526</v>
      </c>
      <c r="B527" s="65535">
        <v>44937</v>
      </c>
      <c r="C527" t="s">
        <v>18</v>
      </c>
      <c r="D527" t="s">
        <v>19</v>
      </c>
      <c r="E527" t="s">
        <v>15</v>
      </c>
      <c r="F527" t="s">
        <v>16</v>
      </c>
      <c r="G527" t="s">
        <v>17</v>
      </c>
      <c r="H527">
        <v>398</v>
      </c>
      <c r="I527">
        <v>2503</v>
      </c>
      <c r="J527">
        <v>996194</v>
      </c>
      <c r="K527">
        <v>1565</v>
      </c>
      <c r="L527">
        <v>622870</v>
      </c>
      <c r="M527">
        <v>373324</v>
      </c>
    </row>
    <row r="528" spans="1:13">
      <c r="A528">
        <v>527</v>
      </c>
      <c r="B528" s="65535">
        <v>45046</v>
      </c>
      <c r="C528" t="s">
        <v>18</v>
      </c>
      <c r="D528" t="s">
        <v>50</v>
      </c>
      <c r="E528" t="s">
        <v>20</v>
      </c>
      <c r="F528" t="s">
        <v>28</v>
      </c>
      <c r="G528" t="s">
        <v>22</v>
      </c>
      <c r="H528">
        <v>262</v>
      </c>
      <c r="I528">
        <v>3173</v>
      </c>
      <c r="J528">
        <v>831326</v>
      </c>
      <c r="K528">
        <v>250</v>
      </c>
      <c r="L528">
        <v>65500</v>
      </c>
      <c r="M528">
        <v>765826</v>
      </c>
    </row>
    <row r="529" spans="1:13">
      <c r="A529">
        <v>528</v>
      </c>
      <c r="B529" s="65535">
        <v>45253</v>
      </c>
      <c r="C529" t="s">
        <v>26</v>
      </c>
      <c r="D529" t="s">
        <v>45</v>
      </c>
      <c r="E529" t="s">
        <v>30</v>
      </c>
      <c r="F529" t="s">
        <v>37</v>
      </c>
      <c r="G529" t="s">
        <v>22</v>
      </c>
      <c r="H529">
        <v>212</v>
      </c>
      <c r="I529">
        <v>1108</v>
      </c>
      <c r="J529">
        <v>234896</v>
      </c>
      <c r="K529">
        <v>990</v>
      </c>
      <c r="L529">
        <v>209880</v>
      </c>
      <c r="M529">
        <v>25016</v>
      </c>
    </row>
    <row r="530" spans="1:13">
      <c r="A530">
        <v>529</v>
      </c>
      <c r="B530" s="65535">
        <v>45264</v>
      </c>
      <c r="C530" t="s">
        <v>26</v>
      </c>
      <c r="D530" t="s">
        <v>45</v>
      </c>
      <c r="E530" t="s">
        <v>30</v>
      </c>
      <c r="F530" t="s">
        <v>31</v>
      </c>
      <c r="G530" t="s">
        <v>22</v>
      </c>
      <c r="H530">
        <v>388</v>
      </c>
      <c r="I530">
        <v>4834</v>
      </c>
      <c r="J530">
        <v>1875592</v>
      </c>
      <c r="K530">
        <v>4729</v>
      </c>
      <c r="L530">
        <v>1834852</v>
      </c>
      <c r="M530">
        <v>40740</v>
      </c>
    </row>
    <row r="531" spans="1:13">
      <c r="A531">
        <v>530</v>
      </c>
      <c r="B531" s="65535">
        <v>44992</v>
      </c>
      <c r="C531" t="s">
        <v>18</v>
      </c>
      <c r="D531" t="s">
        <v>50</v>
      </c>
      <c r="E531" t="s">
        <v>30</v>
      </c>
      <c r="F531" t="s">
        <v>31</v>
      </c>
      <c r="G531" t="s">
        <v>22</v>
      </c>
      <c r="H531">
        <v>142</v>
      </c>
      <c r="I531">
        <v>4868</v>
      </c>
      <c r="J531">
        <v>691256</v>
      </c>
      <c r="K531">
        <v>1967</v>
      </c>
      <c r="L531">
        <v>279314</v>
      </c>
      <c r="M531">
        <v>411942</v>
      </c>
    </row>
    <row r="532" spans="1:13">
      <c r="A532">
        <v>531</v>
      </c>
      <c r="B532" s="65535">
        <v>45199</v>
      </c>
      <c r="C532" t="s">
        <v>26</v>
      </c>
      <c r="D532" t="s">
        <v>36</v>
      </c>
      <c r="E532" t="s">
        <v>15</v>
      </c>
      <c r="F532" t="s">
        <v>49</v>
      </c>
      <c r="G532" t="s">
        <v>17</v>
      </c>
      <c r="H532">
        <v>324</v>
      </c>
      <c r="I532">
        <v>2271</v>
      </c>
      <c r="J532">
        <v>735804</v>
      </c>
      <c r="K532">
        <v>1959</v>
      </c>
      <c r="L532">
        <v>634716</v>
      </c>
      <c r="M532">
        <v>101088</v>
      </c>
    </row>
    <row r="533" spans="1:13">
      <c r="A533">
        <v>532</v>
      </c>
      <c r="B533" s="65535">
        <v>45135</v>
      </c>
      <c r="C533" t="s">
        <v>33</v>
      </c>
      <c r="D533" t="s">
        <v>34</v>
      </c>
      <c r="E533" t="s">
        <v>15</v>
      </c>
      <c r="F533" t="s">
        <v>29</v>
      </c>
      <c r="G533" t="s">
        <v>32</v>
      </c>
      <c r="H533">
        <v>150</v>
      </c>
      <c r="I533">
        <v>1197</v>
      </c>
      <c r="J533">
        <v>179550</v>
      </c>
      <c r="K533">
        <v>1055</v>
      </c>
      <c r="L533">
        <v>158250</v>
      </c>
      <c r="M533">
        <v>21300</v>
      </c>
    </row>
    <row r="534" spans="1:13">
      <c r="A534">
        <v>533</v>
      </c>
      <c r="B534" s="65535">
        <v>44951</v>
      </c>
      <c r="C534" t="s">
        <v>13</v>
      </c>
      <c r="D534" t="s">
        <v>23</v>
      </c>
      <c r="E534" t="s">
        <v>15</v>
      </c>
      <c r="F534" t="s">
        <v>49</v>
      </c>
      <c r="G534" t="s">
        <v>22</v>
      </c>
      <c r="H534">
        <v>152</v>
      </c>
      <c r="I534">
        <v>3641</v>
      </c>
      <c r="J534">
        <v>553432</v>
      </c>
      <c r="K534">
        <v>2280</v>
      </c>
      <c r="L534">
        <v>346560</v>
      </c>
      <c r="M534">
        <v>206872</v>
      </c>
    </row>
    <row r="535" spans="1:13">
      <c r="A535">
        <v>534</v>
      </c>
      <c r="B535" s="65535">
        <v>45098</v>
      </c>
      <c r="C535" t="s">
        <v>13</v>
      </c>
      <c r="D535" t="s">
        <v>23</v>
      </c>
      <c r="E535" t="s">
        <v>15</v>
      </c>
      <c r="F535" t="s">
        <v>29</v>
      </c>
      <c r="G535" t="s">
        <v>22</v>
      </c>
      <c r="H535">
        <v>51</v>
      </c>
      <c r="I535">
        <v>4884</v>
      </c>
      <c r="J535">
        <v>249084</v>
      </c>
      <c r="K535">
        <v>307</v>
      </c>
      <c r="L535">
        <v>15657</v>
      </c>
      <c r="M535">
        <v>233427</v>
      </c>
    </row>
    <row r="536" spans="1:13">
      <c r="A536">
        <v>535</v>
      </c>
      <c r="B536" s="65535">
        <v>45011</v>
      </c>
      <c r="C536" t="s">
        <v>18</v>
      </c>
      <c r="D536" t="s">
        <v>19</v>
      </c>
      <c r="E536" t="s">
        <v>15</v>
      </c>
      <c r="F536" t="s">
        <v>16</v>
      </c>
      <c r="G536" t="s">
        <v>22</v>
      </c>
      <c r="H536">
        <v>178</v>
      </c>
      <c r="I536">
        <v>2746</v>
      </c>
      <c r="J536">
        <v>488788</v>
      </c>
      <c r="K536">
        <v>357</v>
      </c>
      <c r="L536">
        <v>63546</v>
      </c>
      <c r="M536">
        <v>425242</v>
      </c>
    </row>
    <row r="537" spans="1:13">
      <c r="A537">
        <v>536</v>
      </c>
      <c r="B537" s="65535">
        <v>45230</v>
      </c>
      <c r="C537" t="s">
        <v>33</v>
      </c>
      <c r="D537" t="s">
        <v>39</v>
      </c>
      <c r="E537" t="s">
        <v>24</v>
      </c>
      <c r="F537" t="s">
        <v>48</v>
      </c>
      <c r="G537" t="s">
        <v>22</v>
      </c>
      <c r="H537">
        <v>418</v>
      </c>
      <c r="I537">
        <v>2938</v>
      </c>
      <c r="J537">
        <v>1228084</v>
      </c>
      <c r="K537">
        <v>1125</v>
      </c>
      <c r="L537">
        <v>470250</v>
      </c>
      <c r="M537">
        <v>757834</v>
      </c>
    </row>
    <row r="538" spans="1:13">
      <c r="A538">
        <v>537</v>
      </c>
      <c r="B538" s="65535">
        <v>44954</v>
      </c>
      <c r="C538" t="s">
        <v>18</v>
      </c>
      <c r="D538" t="s">
        <v>50</v>
      </c>
      <c r="E538" t="s">
        <v>24</v>
      </c>
      <c r="F538" t="s">
        <v>25</v>
      </c>
      <c r="G538" t="s">
        <v>32</v>
      </c>
      <c r="H538">
        <v>430</v>
      </c>
      <c r="I538">
        <v>2932</v>
      </c>
      <c r="J538">
        <v>1260760</v>
      </c>
      <c r="K538">
        <v>2228</v>
      </c>
      <c r="L538">
        <v>958040</v>
      </c>
      <c r="M538">
        <v>302720</v>
      </c>
    </row>
    <row r="539" spans="1:13">
      <c r="A539">
        <v>538</v>
      </c>
      <c r="B539" s="65535">
        <v>45155</v>
      </c>
      <c r="C539" t="s">
        <v>18</v>
      </c>
      <c r="D539" t="s">
        <v>50</v>
      </c>
      <c r="E539" t="s">
        <v>24</v>
      </c>
      <c r="F539" t="s">
        <v>25</v>
      </c>
      <c r="G539" t="s">
        <v>17</v>
      </c>
      <c r="H539">
        <v>306</v>
      </c>
      <c r="I539">
        <v>1222</v>
      </c>
      <c r="J539">
        <v>373932</v>
      </c>
      <c r="K539">
        <v>275</v>
      </c>
      <c r="L539">
        <v>84150</v>
      </c>
      <c r="M539">
        <v>289782</v>
      </c>
    </row>
    <row r="540" spans="1:13">
      <c r="A540">
        <v>539</v>
      </c>
      <c r="B540" s="65535">
        <v>44960</v>
      </c>
      <c r="C540" t="s">
        <v>33</v>
      </c>
      <c r="D540" t="s">
        <v>39</v>
      </c>
      <c r="E540" t="s">
        <v>24</v>
      </c>
      <c r="F540" t="s">
        <v>48</v>
      </c>
      <c r="G540" t="s">
        <v>17</v>
      </c>
      <c r="H540">
        <v>410</v>
      </c>
      <c r="I540">
        <v>1244</v>
      </c>
      <c r="J540">
        <v>510040</v>
      </c>
      <c r="K540">
        <v>226</v>
      </c>
      <c r="L540">
        <v>92660</v>
      </c>
      <c r="M540">
        <v>417380</v>
      </c>
    </row>
    <row r="541" spans="1:13">
      <c r="A541">
        <v>540</v>
      </c>
      <c r="B541" s="65535">
        <v>45148</v>
      </c>
      <c r="C541" t="s">
        <v>13</v>
      </c>
      <c r="D541" t="s">
        <v>14</v>
      </c>
      <c r="E541" t="s">
        <v>20</v>
      </c>
      <c r="F541" t="s">
        <v>28</v>
      </c>
      <c r="G541" t="s">
        <v>17</v>
      </c>
      <c r="H541">
        <v>43</v>
      </c>
      <c r="I541">
        <v>1034</v>
      </c>
      <c r="J541">
        <v>44462</v>
      </c>
      <c r="K541">
        <v>793</v>
      </c>
      <c r="L541">
        <v>34099</v>
      </c>
      <c r="M541">
        <v>10363</v>
      </c>
    </row>
    <row r="542" spans="1:13">
      <c r="A542">
        <v>541</v>
      </c>
      <c r="B542" s="65535">
        <v>44976</v>
      </c>
      <c r="C542" t="s">
        <v>33</v>
      </c>
      <c r="D542" t="s">
        <v>39</v>
      </c>
      <c r="E542" t="s">
        <v>20</v>
      </c>
      <c r="F542" t="s">
        <v>21</v>
      </c>
      <c r="G542" t="s">
        <v>32</v>
      </c>
      <c r="H542">
        <v>326</v>
      </c>
      <c r="I542">
        <v>3567</v>
      </c>
      <c r="J542">
        <v>1162842</v>
      </c>
      <c r="K542">
        <v>1054</v>
      </c>
      <c r="L542">
        <v>343604</v>
      </c>
      <c r="M542">
        <v>819238</v>
      </c>
    </row>
    <row r="543" spans="1:13">
      <c r="A543">
        <v>542</v>
      </c>
      <c r="B543" s="65535">
        <v>45244</v>
      </c>
      <c r="C543" t="s">
        <v>33</v>
      </c>
      <c r="D543" t="s">
        <v>34</v>
      </c>
      <c r="E543" t="s">
        <v>24</v>
      </c>
      <c r="F543" t="s">
        <v>48</v>
      </c>
      <c r="G543" t="s">
        <v>32</v>
      </c>
      <c r="H543">
        <v>327</v>
      </c>
      <c r="I543">
        <v>1029</v>
      </c>
      <c r="J543">
        <v>336483</v>
      </c>
      <c r="K543">
        <v>447</v>
      </c>
      <c r="L543">
        <v>146169</v>
      </c>
      <c r="M543">
        <v>190314</v>
      </c>
    </row>
    <row r="544" spans="1:13">
      <c r="A544">
        <v>543</v>
      </c>
      <c r="B544" s="65535">
        <v>44982</v>
      </c>
      <c r="C544" t="s">
        <v>33</v>
      </c>
      <c r="D544" t="s">
        <v>34</v>
      </c>
      <c r="E544" t="s">
        <v>20</v>
      </c>
      <c r="F544" t="s">
        <v>28</v>
      </c>
      <c r="G544" t="s">
        <v>22</v>
      </c>
      <c r="H544">
        <v>62</v>
      </c>
      <c r="I544">
        <v>300</v>
      </c>
      <c r="J544">
        <v>18600</v>
      </c>
      <c r="K544">
        <v>117</v>
      </c>
      <c r="L544">
        <v>7254</v>
      </c>
      <c r="M544">
        <v>11346</v>
      </c>
    </row>
    <row r="545" spans="1:13">
      <c r="A545">
        <v>544</v>
      </c>
      <c r="B545" s="65535">
        <v>45173</v>
      </c>
      <c r="C545" t="s">
        <v>18</v>
      </c>
      <c r="D545" t="s">
        <v>38</v>
      </c>
      <c r="E545" t="s">
        <v>20</v>
      </c>
      <c r="F545" t="s">
        <v>21</v>
      </c>
      <c r="G545" t="s">
        <v>32</v>
      </c>
      <c r="H545">
        <v>381</v>
      </c>
      <c r="I545">
        <v>3842</v>
      </c>
      <c r="J545">
        <v>1463802</v>
      </c>
      <c r="K545">
        <v>861</v>
      </c>
      <c r="L545">
        <v>328041</v>
      </c>
      <c r="M545">
        <v>1135761</v>
      </c>
    </row>
    <row r="546" spans="1:13">
      <c r="A546">
        <v>545</v>
      </c>
      <c r="B546" s="65535">
        <v>45086</v>
      </c>
      <c r="C546" t="s">
        <v>18</v>
      </c>
      <c r="D546" t="s">
        <v>38</v>
      </c>
      <c r="E546" t="s">
        <v>15</v>
      </c>
      <c r="F546" t="s">
        <v>16</v>
      </c>
      <c r="G546" t="s">
        <v>22</v>
      </c>
      <c r="H546">
        <v>309</v>
      </c>
      <c r="I546">
        <v>3770</v>
      </c>
      <c r="J546">
        <v>1164930</v>
      </c>
      <c r="K546">
        <v>2201</v>
      </c>
      <c r="L546">
        <v>680109</v>
      </c>
      <c r="M546">
        <v>484821</v>
      </c>
    </row>
    <row r="547" spans="1:13">
      <c r="A547">
        <v>546</v>
      </c>
      <c r="B547" s="65535">
        <v>45085</v>
      </c>
      <c r="C547" t="s">
        <v>26</v>
      </c>
      <c r="D547" t="s">
        <v>27</v>
      </c>
      <c r="E547" t="s">
        <v>30</v>
      </c>
      <c r="F547" t="s">
        <v>37</v>
      </c>
      <c r="G547" t="s">
        <v>32</v>
      </c>
      <c r="H547">
        <v>318</v>
      </c>
      <c r="I547">
        <v>3009</v>
      </c>
      <c r="J547">
        <v>956862</v>
      </c>
      <c r="K547">
        <v>1292</v>
      </c>
      <c r="L547">
        <v>410856</v>
      </c>
      <c r="M547">
        <v>546006</v>
      </c>
    </row>
    <row r="548" spans="1:13">
      <c r="A548">
        <v>547</v>
      </c>
      <c r="B548" s="65535">
        <v>45186</v>
      </c>
      <c r="C548" t="s">
        <v>26</v>
      </c>
      <c r="D548" t="s">
        <v>51</v>
      </c>
      <c r="E548" t="s">
        <v>30</v>
      </c>
      <c r="F548" t="s">
        <v>37</v>
      </c>
      <c r="G548" t="s">
        <v>22</v>
      </c>
      <c r="H548">
        <v>429</v>
      </c>
      <c r="I548">
        <v>4783</v>
      </c>
      <c r="J548">
        <v>2051907</v>
      </c>
      <c r="K548">
        <v>547</v>
      </c>
      <c r="L548">
        <v>234663</v>
      </c>
      <c r="M548">
        <v>1817244</v>
      </c>
    </row>
    <row r="549" spans="1:13">
      <c r="A549">
        <v>548</v>
      </c>
      <c r="B549" s="65535">
        <v>45030</v>
      </c>
      <c r="C549" t="s">
        <v>13</v>
      </c>
      <c r="D549" t="s">
        <v>23</v>
      </c>
      <c r="E549" t="s">
        <v>30</v>
      </c>
      <c r="F549" t="s">
        <v>37</v>
      </c>
      <c r="G549" t="s">
        <v>17</v>
      </c>
      <c r="H549">
        <v>412</v>
      </c>
      <c r="I549">
        <v>760</v>
      </c>
      <c r="J549">
        <v>313120</v>
      </c>
      <c r="K549">
        <v>449</v>
      </c>
      <c r="L549">
        <v>184988</v>
      </c>
      <c r="M549">
        <v>128132</v>
      </c>
    </row>
    <row r="550" spans="1:13">
      <c r="A550">
        <v>549</v>
      </c>
      <c r="B550" s="65535">
        <v>45096</v>
      </c>
      <c r="C550" t="s">
        <v>18</v>
      </c>
      <c r="D550" t="s">
        <v>19</v>
      </c>
      <c r="E550" t="s">
        <v>24</v>
      </c>
      <c r="F550" t="s">
        <v>35</v>
      </c>
      <c r="G550" t="s">
        <v>17</v>
      </c>
      <c r="H550">
        <v>446</v>
      </c>
      <c r="I550">
        <v>4938</v>
      </c>
      <c r="J550">
        <v>2202348</v>
      </c>
      <c r="K550">
        <v>4737</v>
      </c>
      <c r="L550">
        <v>2112702</v>
      </c>
      <c r="M550">
        <v>89646</v>
      </c>
    </row>
    <row r="551" spans="1:13">
      <c r="A551">
        <v>550</v>
      </c>
      <c r="B551" s="65535">
        <v>44980</v>
      </c>
      <c r="C551" t="s">
        <v>26</v>
      </c>
      <c r="D551" t="s">
        <v>27</v>
      </c>
      <c r="E551" t="s">
        <v>24</v>
      </c>
      <c r="F551" t="s">
        <v>48</v>
      </c>
      <c r="G551" t="s">
        <v>22</v>
      </c>
      <c r="H551">
        <v>242</v>
      </c>
      <c r="I551">
        <v>545</v>
      </c>
      <c r="J551">
        <v>131890</v>
      </c>
      <c r="K551">
        <v>353</v>
      </c>
      <c r="L551">
        <v>85426</v>
      </c>
      <c r="M551">
        <v>46464</v>
      </c>
    </row>
    <row r="552" spans="1:13">
      <c r="A552">
        <v>551</v>
      </c>
      <c r="B552" s="65535">
        <v>45165</v>
      </c>
      <c r="C552" t="s">
        <v>18</v>
      </c>
      <c r="D552" t="s">
        <v>50</v>
      </c>
      <c r="E552" t="s">
        <v>30</v>
      </c>
      <c r="F552" t="s">
        <v>31</v>
      </c>
      <c r="G552" t="s">
        <v>22</v>
      </c>
      <c r="H552">
        <v>329</v>
      </c>
      <c r="I552">
        <v>1946</v>
      </c>
      <c r="J552">
        <v>640234</v>
      </c>
      <c r="K552">
        <v>589</v>
      </c>
      <c r="L552">
        <v>193781</v>
      </c>
      <c r="M552">
        <v>446453</v>
      </c>
    </row>
    <row r="553" spans="1:13">
      <c r="A553">
        <v>552</v>
      </c>
      <c r="B553" s="65535">
        <v>45021</v>
      </c>
      <c r="C553" t="s">
        <v>13</v>
      </c>
      <c r="D553" t="s">
        <v>23</v>
      </c>
      <c r="E553" t="s">
        <v>24</v>
      </c>
      <c r="F553" t="s">
        <v>25</v>
      </c>
      <c r="G553" t="s">
        <v>32</v>
      </c>
      <c r="H553">
        <v>432</v>
      </c>
      <c r="I553">
        <v>255</v>
      </c>
      <c r="J553">
        <v>110160</v>
      </c>
      <c r="K553">
        <v>146</v>
      </c>
      <c r="L553">
        <v>63072</v>
      </c>
      <c r="M553">
        <v>47088</v>
      </c>
    </row>
    <row r="554" spans="1:13">
      <c r="A554">
        <v>553</v>
      </c>
      <c r="B554" s="65535">
        <v>44985</v>
      </c>
      <c r="C554" t="s">
        <v>33</v>
      </c>
      <c r="D554" t="s">
        <v>39</v>
      </c>
      <c r="E554" t="s">
        <v>20</v>
      </c>
      <c r="F554" t="s">
        <v>44</v>
      </c>
      <c r="G554" t="s">
        <v>17</v>
      </c>
      <c r="H554">
        <v>82</v>
      </c>
      <c r="I554">
        <v>2580</v>
      </c>
      <c r="J554">
        <v>211560</v>
      </c>
      <c r="K554">
        <v>1903</v>
      </c>
      <c r="L554">
        <v>156046</v>
      </c>
      <c r="M554">
        <v>55514</v>
      </c>
    </row>
    <row r="555" spans="1:13">
      <c r="A555">
        <v>554</v>
      </c>
      <c r="B555" s="65535">
        <v>45028</v>
      </c>
      <c r="C555" t="s">
        <v>18</v>
      </c>
      <c r="D555" t="s">
        <v>47</v>
      </c>
      <c r="E555" t="s">
        <v>15</v>
      </c>
      <c r="F555" t="s">
        <v>16</v>
      </c>
      <c r="G555" t="s">
        <v>22</v>
      </c>
      <c r="H555">
        <v>155</v>
      </c>
      <c r="I555">
        <v>1626</v>
      </c>
      <c r="J555">
        <v>252030</v>
      </c>
      <c r="K555">
        <v>548</v>
      </c>
      <c r="L555">
        <v>84940</v>
      </c>
      <c r="M555">
        <v>167090</v>
      </c>
    </row>
    <row r="556" spans="1:13">
      <c r="A556">
        <v>555</v>
      </c>
      <c r="B556" s="65535">
        <v>45018</v>
      </c>
      <c r="C556" t="s">
        <v>26</v>
      </c>
      <c r="D556" t="s">
        <v>36</v>
      </c>
      <c r="E556" t="s">
        <v>20</v>
      </c>
      <c r="F556" t="s">
        <v>28</v>
      </c>
      <c r="G556" t="s">
        <v>22</v>
      </c>
      <c r="H556">
        <v>110</v>
      </c>
      <c r="I556">
        <v>376</v>
      </c>
      <c r="J556">
        <v>41360</v>
      </c>
      <c r="K556">
        <v>145</v>
      </c>
      <c r="L556">
        <v>15950</v>
      </c>
      <c r="M556">
        <v>25410</v>
      </c>
    </row>
    <row r="557" spans="1:13">
      <c r="A557">
        <v>556</v>
      </c>
      <c r="B557" s="65535">
        <v>45121</v>
      </c>
      <c r="C557" t="s">
        <v>26</v>
      </c>
      <c r="D557" t="s">
        <v>51</v>
      </c>
      <c r="E557" t="s">
        <v>15</v>
      </c>
      <c r="F557" t="s">
        <v>49</v>
      </c>
      <c r="G557" t="s">
        <v>22</v>
      </c>
      <c r="H557">
        <v>345</v>
      </c>
      <c r="I557">
        <v>1109</v>
      </c>
      <c r="J557">
        <v>382605</v>
      </c>
      <c r="K557">
        <v>446</v>
      </c>
      <c r="L557">
        <v>153870</v>
      </c>
      <c r="M557">
        <v>228735</v>
      </c>
    </row>
    <row r="558" spans="1:13">
      <c r="A558">
        <v>557</v>
      </c>
      <c r="B558" s="65535">
        <v>45117</v>
      </c>
      <c r="C558" t="s">
        <v>18</v>
      </c>
      <c r="D558" t="s">
        <v>47</v>
      </c>
      <c r="E558" t="s">
        <v>24</v>
      </c>
      <c r="F558" t="s">
        <v>25</v>
      </c>
      <c r="G558" t="s">
        <v>32</v>
      </c>
      <c r="H558">
        <v>348</v>
      </c>
      <c r="I558">
        <v>1603</v>
      </c>
      <c r="J558">
        <v>557844</v>
      </c>
      <c r="K558">
        <v>1179</v>
      </c>
      <c r="L558">
        <v>410292</v>
      </c>
      <c r="M558">
        <v>147552</v>
      </c>
    </row>
    <row r="559" spans="1:13">
      <c r="A559">
        <v>558</v>
      </c>
      <c r="B559" s="65535">
        <v>45024</v>
      </c>
      <c r="C559" t="s">
        <v>13</v>
      </c>
      <c r="D559" t="s">
        <v>14</v>
      </c>
      <c r="E559" t="s">
        <v>15</v>
      </c>
      <c r="F559" t="s">
        <v>16</v>
      </c>
      <c r="G559" t="s">
        <v>22</v>
      </c>
      <c r="H559">
        <v>108</v>
      </c>
      <c r="I559">
        <v>4562</v>
      </c>
      <c r="J559">
        <v>492696</v>
      </c>
      <c r="K559">
        <v>3198</v>
      </c>
      <c r="L559">
        <v>345384</v>
      </c>
      <c r="M559">
        <v>147312</v>
      </c>
    </row>
    <row r="560" spans="1:13">
      <c r="A560">
        <v>559</v>
      </c>
      <c r="B560" s="65535">
        <v>44950</v>
      </c>
      <c r="C560" t="s">
        <v>26</v>
      </c>
      <c r="D560" t="s">
        <v>27</v>
      </c>
      <c r="E560" t="s">
        <v>24</v>
      </c>
      <c r="F560" t="s">
        <v>35</v>
      </c>
      <c r="G560" t="s">
        <v>22</v>
      </c>
      <c r="H560">
        <v>400</v>
      </c>
      <c r="I560">
        <v>1749</v>
      </c>
      <c r="J560">
        <v>699600</v>
      </c>
      <c r="K560">
        <v>1196</v>
      </c>
      <c r="L560">
        <v>478400</v>
      </c>
      <c r="M560">
        <v>221200</v>
      </c>
    </row>
    <row r="561" spans="1:13">
      <c r="A561">
        <v>560</v>
      </c>
      <c r="B561" s="65535">
        <v>45249</v>
      </c>
      <c r="C561" t="s">
        <v>26</v>
      </c>
      <c r="D561" t="s">
        <v>36</v>
      </c>
      <c r="E561" t="s">
        <v>20</v>
      </c>
      <c r="F561" t="s">
        <v>44</v>
      </c>
      <c r="G561" t="s">
        <v>22</v>
      </c>
      <c r="H561">
        <v>417</v>
      </c>
      <c r="I561">
        <v>2494</v>
      </c>
      <c r="J561">
        <v>1039998</v>
      </c>
      <c r="K561">
        <v>617</v>
      </c>
      <c r="L561">
        <v>257289</v>
      </c>
      <c r="M561">
        <v>782709</v>
      </c>
    </row>
    <row r="562" spans="1:13">
      <c r="A562">
        <v>561</v>
      </c>
      <c r="B562" s="65535">
        <v>45241</v>
      </c>
      <c r="C562" t="s">
        <v>13</v>
      </c>
      <c r="D562" t="s">
        <v>43</v>
      </c>
      <c r="E562" t="s">
        <v>15</v>
      </c>
      <c r="F562" t="s">
        <v>29</v>
      </c>
      <c r="G562" t="s">
        <v>17</v>
      </c>
      <c r="H562">
        <v>43</v>
      </c>
      <c r="I562">
        <v>1571</v>
      </c>
      <c r="J562">
        <v>67553</v>
      </c>
      <c r="K562">
        <v>1141</v>
      </c>
      <c r="L562">
        <v>49063</v>
      </c>
      <c r="M562">
        <v>18490</v>
      </c>
    </row>
    <row r="563" spans="1:13">
      <c r="A563">
        <v>562</v>
      </c>
      <c r="B563" s="65535">
        <v>45018</v>
      </c>
      <c r="C563" t="s">
        <v>13</v>
      </c>
      <c r="D563" t="s">
        <v>23</v>
      </c>
      <c r="E563" t="s">
        <v>24</v>
      </c>
      <c r="F563" t="s">
        <v>35</v>
      </c>
      <c r="G563" t="s">
        <v>32</v>
      </c>
      <c r="H563">
        <v>174</v>
      </c>
      <c r="I563">
        <v>3262</v>
      </c>
      <c r="J563">
        <v>567588</v>
      </c>
      <c r="K563">
        <v>2252</v>
      </c>
      <c r="L563">
        <v>391848</v>
      </c>
      <c r="M563">
        <v>175740</v>
      </c>
    </row>
    <row r="564" spans="1:13">
      <c r="A564">
        <v>563</v>
      </c>
      <c r="B564" s="65535">
        <v>45132</v>
      </c>
      <c r="C564" t="s">
        <v>13</v>
      </c>
      <c r="D564" t="s">
        <v>42</v>
      </c>
      <c r="E564" t="s">
        <v>24</v>
      </c>
      <c r="F564" t="s">
        <v>48</v>
      </c>
      <c r="G564" t="s">
        <v>17</v>
      </c>
      <c r="H564">
        <v>336</v>
      </c>
      <c r="I564">
        <v>4983</v>
      </c>
      <c r="J564">
        <v>1674288</v>
      </c>
      <c r="K564">
        <v>399</v>
      </c>
      <c r="L564">
        <v>134064</v>
      </c>
      <c r="M564">
        <v>1540224</v>
      </c>
    </row>
    <row r="565" spans="1:13">
      <c r="A565">
        <v>564</v>
      </c>
      <c r="B565" s="65535">
        <v>45129</v>
      </c>
      <c r="C565" t="s">
        <v>18</v>
      </c>
      <c r="D565" t="s">
        <v>38</v>
      </c>
      <c r="E565" t="s">
        <v>30</v>
      </c>
      <c r="F565" t="s">
        <v>40</v>
      </c>
      <c r="G565" t="s">
        <v>22</v>
      </c>
      <c r="H565">
        <v>121</v>
      </c>
      <c r="I565">
        <v>2706</v>
      </c>
      <c r="J565">
        <v>327426</v>
      </c>
      <c r="K565">
        <v>1840</v>
      </c>
      <c r="L565">
        <v>222640</v>
      </c>
      <c r="M565">
        <v>104786</v>
      </c>
    </row>
    <row r="566" spans="1:13">
      <c r="A566">
        <v>565</v>
      </c>
      <c r="B566" s="65535">
        <v>44970</v>
      </c>
      <c r="C566" t="s">
        <v>13</v>
      </c>
      <c r="D566" t="s">
        <v>43</v>
      </c>
      <c r="E566" t="s">
        <v>20</v>
      </c>
      <c r="F566" t="s">
        <v>21</v>
      </c>
      <c r="G566" t="s">
        <v>17</v>
      </c>
      <c r="H566">
        <v>78</v>
      </c>
      <c r="I566">
        <v>888</v>
      </c>
      <c r="J566">
        <v>69264</v>
      </c>
      <c r="K566">
        <v>402</v>
      </c>
      <c r="L566">
        <v>31356</v>
      </c>
      <c r="M566">
        <v>37908</v>
      </c>
    </row>
    <row r="567" spans="1:13">
      <c r="A567">
        <v>566</v>
      </c>
      <c r="B567" s="65535">
        <v>45165</v>
      </c>
      <c r="C567" t="s">
        <v>13</v>
      </c>
      <c r="D567" t="s">
        <v>23</v>
      </c>
      <c r="E567" t="s">
        <v>30</v>
      </c>
      <c r="F567" t="s">
        <v>31</v>
      </c>
      <c r="G567" t="s">
        <v>22</v>
      </c>
      <c r="H567">
        <v>272</v>
      </c>
      <c r="I567">
        <v>2955</v>
      </c>
      <c r="J567">
        <v>803760</v>
      </c>
      <c r="K567">
        <v>1845</v>
      </c>
      <c r="L567">
        <v>501840</v>
      </c>
      <c r="M567">
        <v>301920</v>
      </c>
    </row>
    <row r="568" spans="1:13">
      <c r="A568">
        <v>567</v>
      </c>
      <c r="B568" s="65535">
        <v>45181</v>
      </c>
      <c r="C568" t="s">
        <v>13</v>
      </c>
      <c r="D568" t="s">
        <v>42</v>
      </c>
      <c r="E568" t="s">
        <v>24</v>
      </c>
      <c r="F568" t="s">
        <v>48</v>
      </c>
      <c r="G568" t="s">
        <v>32</v>
      </c>
      <c r="H568">
        <v>172</v>
      </c>
      <c r="I568">
        <v>2436</v>
      </c>
      <c r="J568">
        <v>418992</v>
      </c>
      <c r="K568">
        <v>1666</v>
      </c>
      <c r="L568">
        <v>286552</v>
      </c>
      <c r="M568">
        <v>132440</v>
      </c>
    </row>
    <row r="569" spans="1:13">
      <c r="A569">
        <v>568</v>
      </c>
      <c r="B569" s="65535">
        <v>45257</v>
      </c>
      <c r="C569" t="s">
        <v>33</v>
      </c>
      <c r="D569" t="s">
        <v>46</v>
      </c>
      <c r="E569" t="s">
        <v>24</v>
      </c>
      <c r="F569" t="s">
        <v>25</v>
      </c>
      <c r="G569" t="s">
        <v>32</v>
      </c>
      <c r="H569">
        <v>48</v>
      </c>
      <c r="I569">
        <v>3141</v>
      </c>
      <c r="J569">
        <v>150768</v>
      </c>
      <c r="K569">
        <v>437</v>
      </c>
      <c r="L569">
        <v>20976</v>
      </c>
      <c r="M569">
        <v>129792</v>
      </c>
    </row>
    <row r="570" spans="1:13">
      <c r="A570">
        <v>569</v>
      </c>
      <c r="B570" s="65535">
        <v>44987</v>
      </c>
      <c r="C570" t="s">
        <v>26</v>
      </c>
      <c r="D570" t="s">
        <v>51</v>
      </c>
      <c r="E570" t="s">
        <v>20</v>
      </c>
      <c r="F570" t="s">
        <v>44</v>
      </c>
      <c r="G570" t="s">
        <v>22</v>
      </c>
      <c r="H570">
        <v>46</v>
      </c>
      <c r="I570">
        <v>3151</v>
      </c>
      <c r="J570">
        <v>144946</v>
      </c>
      <c r="K570">
        <v>256</v>
      </c>
      <c r="L570">
        <v>11776</v>
      </c>
      <c r="M570">
        <v>133170</v>
      </c>
    </row>
    <row r="571" spans="1:13">
      <c r="A571">
        <v>570</v>
      </c>
      <c r="B571" s="65535">
        <v>45055</v>
      </c>
      <c r="C571" t="s">
        <v>18</v>
      </c>
      <c r="D571" t="s">
        <v>47</v>
      </c>
      <c r="E571" t="s">
        <v>30</v>
      </c>
      <c r="F571" t="s">
        <v>31</v>
      </c>
      <c r="G571" t="s">
        <v>32</v>
      </c>
      <c r="H571">
        <v>164</v>
      </c>
      <c r="I571">
        <v>2448</v>
      </c>
      <c r="J571">
        <v>401472</v>
      </c>
      <c r="K571">
        <v>880</v>
      </c>
      <c r="L571">
        <v>144320</v>
      </c>
      <c r="M571">
        <v>257152</v>
      </c>
    </row>
    <row r="572" spans="1:13">
      <c r="A572">
        <v>571</v>
      </c>
      <c r="B572" s="65535">
        <v>45104</v>
      </c>
      <c r="C572" t="s">
        <v>18</v>
      </c>
      <c r="D572" t="s">
        <v>47</v>
      </c>
      <c r="E572" t="s">
        <v>15</v>
      </c>
      <c r="F572" t="s">
        <v>29</v>
      </c>
      <c r="G572" t="s">
        <v>32</v>
      </c>
      <c r="H572">
        <v>410</v>
      </c>
      <c r="I572">
        <v>3508</v>
      </c>
      <c r="J572">
        <v>1438280</v>
      </c>
      <c r="K572">
        <v>1761</v>
      </c>
      <c r="L572">
        <v>722010</v>
      </c>
      <c r="M572">
        <v>716270</v>
      </c>
    </row>
    <row r="573" spans="1:13">
      <c r="A573">
        <v>572</v>
      </c>
      <c r="B573" s="65535">
        <v>45043</v>
      </c>
      <c r="C573" t="s">
        <v>33</v>
      </c>
      <c r="D573" t="s">
        <v>34</v>
      </c>
      <c r="E573" t="s">
        <v>30</v>
      </c>
      <c r="F573" t="s">
        <v>40</v>
      </c>
      <c r="G573" t="s">
        <v>22</v>
      </c>
      <c r="H573">
        <v>380</v>
      </c>
      <c r="I573">
        <v>1919</v>
      </c>
      <c r="J573">
        <v>729220</v>
      </c>
      <c r="K573">
        <v>1071</v>
      </c>
      <c r="L573">
        <v>406980</v>
      </c>
      <c r="M573">
        <v>322240</v>
      </c>
    </row>
    <row r="574" spans="1:13">
      <c r="A574">
        <v>573</v>
      </c>
      <c r="B574" s="65535">
        <v>45087</v>
      </c>
      <c r="C574" t="s">
        <v>18</v>
      </c>
      <c r="D574" t="s">
        <v>19</v>
      </c>
      <c r="E574" t="s">
        <v>24</v>
      </c>
      <c r="F574" t="s">
        <v>48</v>
      </c>
      <c r="G574" t="s">
        <v>22</v>
      </c>
      <c r="H574">
        <v>443</v>
      </c>
      <c r="I574">
        <v>1738</v>
      </c>
      <c r="J574">
        <v>769934</v>
      </c>
      <c r="K574">
        <v>978</v>
      </c>
      <c r="L574">
        <v>433254</v>
      </c>
      <c r="M574">
        <v>336680</v>
      </c>
    </row>
    <row r="575" spans="1:13">
      <c r="A575">
        <v>574</v>
      </c>
      <c r="B575" s="65535">
        <v>44942</v>
      </c>
      <c r="C575" t="s">
        <v>13</v>
      </c>
      <c r="D575" t="s">
        <v>43</v>
      </c>
      <c r="E575" t="s">
        <v>24</v>
      </c>
      <c r="F575" t="s">
        <v>48</v>
      </c>
      <c r="G575" t="s">
        <v>17</v>
      </c>
      <c r="H575">
        <v>201</v>
      </c>
      <c r="I575">
        <v>1338</v>
      </c>
      <c r="J575">
        <v>268938</v>
      </c>
      <c r="K575">
        <v>1282</v>
      </c>
      <c r="L575">
        <v>257682</v>
      </c>
      <c r="M575">
        <v>11256</v>
      </c>
    </row>
    <row r="576" spans="1:13">
      <c r="A576">
        <v>575</v>
      </c>
      <c r="B576" s="65535">
        <v>45108</v>
      </c>
      <c r="C576" t="s">
        <v>18</v>
      </c>
      <c r="D576" t="s">
        <v>47</v>
      </c>
      <c r="E576" t="s">
        <v>15</v>
      </c>
      <c r="F576" t="s">
        <v>29</v>
      </c>
      <c r="G576" t="s">
        <v>17</v>
      </c>
      <c r="H576">
        <v>183</v>
      </c>
      <c r="I576">
        <v>2047</v>
      </c>
      <c r="J576">
        <v>374601</v>
      </c>
      <c r="K576">
        <v>958</v>
      </c>
      <c r="L576">
        <v>175314</v>
      </c>
      <c r="M576">
        <v>199287</v>
      </c>
    </row>
    <row r="577" spans="1:13">
      <c r="A577">
        <v>576</v>
      </c>
      <c r="B577" s="65535">
        <v>44938</v>
      </c>
      <c r="C577" t="s">
        <v>13</v>
      </c>
      <c r="D577" t="s">
        <v>42</v>
      </c>
      <c r="E577" t="s">
        <v>20</v>
      </c>
      <c r="F577" t="s">
        <v>21</v>
      </c>
      <c r="G577" t="s">
        <v>17</v>
      </c>
      <c r="H577">
        <v>300</v>
      </c>
      <c r="I577">
        <v>463</v>
      </c>
      <c r="J577">
        <v>138900</v>
      </c>
      <c r="K577">
        <v>171</v>
      </c>
      <c r="L577">
        <v>51300</v>
      </c>
      <c r="M577">
        <v>87600</v>
      </c>
    </row>
    <row r="578" spans="1:13">
      <c r="A578">
        <v>577</v>
      </c>
      <c r="B578" s="65535">
        <v>45127</v>
      </c>
      <c r="C578" t="s">
        <v>18</v>
      </c>
      <c r="D578" t="s">
        <v>47</v>
      </c>
      <c r="E578" t="s">
        <v>24</v>
      </c>
      <c r="F578" t="s">
        <v>48</v>
      </c>
      <c r="G578" t="s">
        <v>22</v>
      </c>
      <c r="H578">
        <v>42</v>
      </c>
      <c r="I578">
        <v>4578</v>
      </c>
      <c r="J578">
        <v>192276</v>
      </c>
      <c r="K578">
        <v>3265</v>
      </c>
      <c r="L578">
        <v>137130</v>
      </c>
      <c r="M578">
        <v>55146</v>
      </c>
    </row>
    <row r="579" spans="1:13">
      <c r="A579">
        <v>578</v>
      </c>
      <c r="B579" s="65535">
        <v>45158</v>
      </c>
      <c r="C579" t="s">
        <v>18</v>
      </c>
      <c r="D579" t="s">
        <v>19</v>
      </c>
      <c r="E579" t="s">
        <v>15</v>
      </c>
      <c r="F579" t="s">
        <v>29</v>
      </c>
      <c r="G579" t="s">
        <v>17</v>
      </c>
      <c r="H579">
        <v>337</v>
      </c>
      <c r="I579">
        <v>2695</v>
      </c>
      <c r="J579">
        <v>908215</v>
      </c>
      <c r="K579">
        <v>481</v>
      </c>
      <c r="L579">
        <v>162097</v>
      </c>
      <c r="M579">
        <v>746118</v>
      </c>
    </row>
    <row r="580" spans="1:13">
      <c r="A580">
        <v>579</v>
      </c>
      <c r="B580" s="65535">
        <v>45235</v>
      </c>
      <c r="C580" t="s">
        <v>18</v>
      </c>
      <c r="D580" t="s">
        <v>50</v>
      </c>
      <c r="E580" t="s">
        <v>30</v>
      </c>
      <c r="F580" t="s">
        <v>37</v>
      </c>
      <c r="G580" t="s">
        <v>17</v>
      </c>
      <c r="H580">
        <v>260</v>
      </c>
      <c r="I580">
        <v>419</v>
      </c>
      <c r="J580">
        <v>108940</v>
      </c>
      <c r="K580">
        <v>195</v>
      </c>
      <c r="L580">
        <v>50700</v>
      </c>
      <c r="M580">
        <v>58240</v>
      </c>
    </row>
    <row r="581" spans="1:13">
      <c r="A581">
        <v>580</v>
      </c>
      <c r="B581" s="65535">
        <v>45046</v>
      </c>
      <c r="C581" t="s">
        <v>18</v>
      </c>
      <c r="D581" t="s">
        <v>50</v>
      </c>
      <c r="E581" t="s">
        <v>24</v>
      </c>
      <c r="F581" t="s">
        <v>48</v>
      </c>
      <c r="G581" t="s">
        <v>22</v>
      </c>
      <c r="H581">
        <v>159</v>
      </c>
      <c r="I581">
        <v>4495</v>
      </c>
      <c r="J581">
        <v>714705</v>
      </c>
      <c r="K581">
        <v>673</v>
      </c>
      <c r="L581">
        <v>107007</v>
      </c>
      <c r="M581">
        <v>607698</v>
      </c>
    </row>
    <row r="582" spans="1:13">
      <c r="A582">
        <v>581</v>
      </c>
      <c r="B582" s="65535">
        <v>45014</v>
      </c>
      <c r="C582" t="s">
        <v>13</v>
      </c>
      <c r="D582" t="s">
        <v>14</v>
      </c>
      <c r="E582" t="s">
        <v>20</v>
      </c>
      <c r="F582" t="s">
        <v>28</v>
      </c>
      <c r="G582" t="s">
        <v>22</v>
      </c>
      <c r="H582">
        <v>177</v>
      </c>
      <c r="I582">
        <v>3565</v>
      </c>
      <c r="J582">
        <v>631005</v>
      </c>
      <c r="K582">
        <v>1701</v>
      </c>
      <c r="L582">
        <v>301077</v>
      </c>
      <c r="M582">
        <v>329928</v>
      </c>
    </row>
    <row r="583" spans="1:13">
      <c r="A583">
        <v>582</v>
      </c>
      <c r="B583" s="65535">
        <v>45171</v>
      </c>
      <c r="C583" t="s">
        <v>18</v>
      </c>
      <c r="D583" t="s">
        <v>50</v>
      </c>
      <c r="E583" t="s">
        <v>30</v>
      </c>
      <c r="F583" t="s">
        <v>31</v>
      </c>
      <c r="G583" t="s">
        <v>32</v>
      </c>
      <c r="H583">
        <v>390</v>
      </c>
      <c r="I583">
        <v>763</v>
      </c>
      <c r="J583">
        <v>297570</v>
      </c>
      <c r="K583">
        <v>498</v>
      </c>
      <c r="L583">
        <v>194220</v>
      </c>
      <c r="M583">
        <v>103350</v>
      </c>
    </row>
    <row r="584" spans="1:13">
      <c r="A584">
        <v>583</v>
      </c>
      <c r="B584" s="65535">
        <v>45290</v>
      </c>
      <c r="C584" t="s">
        <v>18</v>
      </c>
      <c r="D584" t="s">
        <v>38</v>
      </c>
      <c r="E584" t="s">
        <v>30</v>
      </c>
      <c r="F584" t="s">
        <v>40</v>
      </c>
      <c r="G584" t="s">
        <v>32</v>
      </c>
      <c r="H584">
        <v>350</v>
      </c>
      <c r="I584">
        <v>4089</v>
      </c>
      <c r="J584">
        <v>1431150</v>
      </c>
      <c r="K584">
        <v>750</v>
      </c>
      <c r="L584">
        <v>262500</v>
      </c>
      <c r="M584">
        <v>1168650</v>
      </c>
    </row>
    <row r="585" spans="1:13">
      <c r="A585">
        <v>584</v>
      </c>
      <c r="B585" s="65535">
        <v>44930</v>
      </c>
      <c r="C585" t="s">
        <v>26</v>
      </c>
      <c r="D585" t="s">
        <v>36</v>
      </c>
      <c r="E585" t="s">
        <v>24</v>
      </c>
      <c r="F585" t="s">
        <v>48</v>
      </c>
      <c r="G585" t="s">
        <v>22</v>
      </c>
      <c r="H585">
        <v>83</v>
      </c>
      <c r="I585">
        <v>3851</v>
      </c>
      <c r="J585">
        <v>319633</v>
      </c>
      <c r="K585">
        <v>362</v>
      </c>
      <c r="L585">
        <v>30046</v>
      </c>
      <c r="M585">
        <v>289587</v>
      </c>
    </row>
    <row r="586" spans="1:13">
      <c r="A586">
        <v>585</v>
      </c>
      <c r="B586" s="65535">
        <v>45162</v>
      </c>
      <c r="C586" t="s">
        <v>13</v>
      </c>
      <c r="D586" t="s">
        <v>43</v>
      </c>
      <c r="E586" t="s">
        <v>20</v>
      </c>
      <c r="F586" t="s">
        <v>28</v>
      </c>
      <c r="G586" t="s">
        <v>32</v>
      </c>
      <c r="H586">
        <v>246</v>
      </c>
      <c r="I586">
        <v>4919</v>
      </c>
      <c r="J586">
        <v>1210074</v>
      </c>
      <c r="K586">
        <v>420</v>
      </c>
      <c r="L586">
        <v>103320</v>
      </c>
      <c r="M586">
        <v>1106754</v>
      </c>
    </row>
    <row r="587" spans="1:13">
      <c r="A587">
        <v>586</v>
      </c>
      <c r="B587" s="65535">
        <v>45291</v>
      </c>
      <c r="C587" t="s">
        <v>33</v>
      </c>
      <c r="D587" t="s">
        <v>41</v>
      </c>
      <c r="E587" t="s">
        <v>24</v>
      </c>
      <c r="F587" t="s">
        <v>48</v>
      </c>
      <c r="G587" t="s">
        <v>17</v>
      </c>
      <c r="H587">
        <v>415</v>
      </c>
      <c r="I587">
        <v>2636</v>
      </c>
      <c r="J587">
        <v>1093940</v>
      </c>
      <c r="K587">
        <v>1701</v>
      </c>
      <c r="L587">
        <v>705915</v>
      </c>
      <c r="M587">
        <v>388025</v>
      </c>
    </row>
    <row r="588" spans="1:13">
      <c r="A588">
        <v>587</v>
      </c>
      <c r="B588" s="65535">
        <v>45148</v>
      </c>
      <c r="C588" t="s">
        <v>18</v>
      </c>
      <c r="D588" t="s">
        <v>19</v>
      </c>
      <c r="E588" t="s">
        <v>30</v>
      </c>
      <c r="F588" t="s">
        <v>37</v>
      </c>
      <c r="G588" t="s">
        <v>17</v>
      </c>
      <c r="H588">
        <v>244</v>
      </c>
      <c r="I588">
        <v>3351</v>
      </c>
      <c r="J588">
        <v>817644</v>
      </c>
      <c r="K588">
        <v>2799</v>
      </c>
      <c r="L588">
        <v>682956</v>
      </c>
      <c r="M588">
        <v>134688</v>
      </c>
    </row>
    <row r="589" spans="1:13">
      <c r="A589">
        <v>588</v>
      </c>
      <c r="B589" s="65535">
        <v>45049</v>
      </c>
      <c r="C589" t="s">
        <v>18</v>
      </c>
      <c r="D589" t="s">
        <v>50</v>
      </c>
      <c r="E589" t="s">
        <v>24</v>
      </c>
      <c r="F589" t="s">
        <v>35</v>
      </c>
      <c r="G589" t="s">
        <v>22</v>
      </c>
      <c r="H589">
        <v>463</v>
      </c>
      <c r="I589">
        <v>1493</v>
      </c>
      <c r="J589">
        <v>691259</v>
      </c>
      <c r="K589">
        <v>660</v>
      </c>
      <c r="L589">
        <v>305580</v>
      </c>
      <c r="M589">
        <v>385679</v>
      </c>
    </row>
    <row r="590" spans="1:13">
      <c r="A590">
        <v>589</v>
      </c>
      <c r="B590" s="65535">
        <v>45210</v>
      </c>
      <c r="C590" t="s">
        <v>26</v>
      </c>
      <c r="D590" t="s">
        <v>51</v>
      </c>
      <c r="E590" t="s">
        <v>30</v>
      </c>
      <c r="F590" t="s">
        <v>40</v>
      </c>
      <c r="G590" t="s">
        <v>32</v>
      </c>
      <c r="H590">
        <v>72</v>
      </c>
      <c r="I590">
        <v>3220</v>
      </c>
      <c r="J590">
        <v>231840</v>
      </c>
      <c r="K590">
        <v>413</v>
      </c>
      <c r="L590">
        <v>29736</v>
      </c>
      <c r="M590">
        <v>202104</v>
      </c>
    </row>
    <row r="591" spans="1:13">
      <c r="A591">
        <v>590</v>
      </c>
      <c r="B591" s="65535">
        <v>45056</v>
      </c>
      <c r="C591" t="s">
        <v>33</v>
      </c>
      <c r="D591" t="s">
        <v>41</v>
      </c>
      <c r="E591" t="s">
        <v>24</v>
      </c>
      <c r="F591" t="s">
        <v>48</v>
      </c>
      <c r="G591" t="s">
        <v>22</v>
      </c>
      <c r="H591">
        <v>116</v>
      </c>
      <c r="I591">
        <v>4345</v>
      </c>
      <c r="J591">
        <v>504020</v>
      </c>
      <c r="K591">
        <v>465</v>
      </c>
      <c r="L591">
        <v>53940</v>
      </c>
      <c r="M591">
        <v>450080</v>
      </c>
    </row>
    <row r="592" spans="1:13">
      <c r="A592">
        <v>591</v>
      </c>
      <c r="B592" s="65535">
        <v>45272</v>
      </c>
      <c r="C592" t="s">
        <v>13</v>
      </c>
      <c r="D592" t="s">
        <v>14</v>
      </c>
      <c r="E592" t="s">
        <v>15</v>
      </c>
      <c r="F592" t="s">
        <v>49</v>
      </c>
      <c r="G592" t="s">
        <v>17</v>
      </c>
      <c r="H592">
        <v>393</v>
      </c>
      <c r="I592">
        <v>3983</v>
      </c>
      <c r="J592">
        <v>1565319</v>
      </c>
      <c r="K592">
        <v>1661</v>
      </c>
      <c r="L592">
        <v>652773</v>
      </c>
      <c r="M592">
        <v>912546</v>
      </c>
    </row>
    <row r="593" spans="1:13">
      <c r="A593">
        <v>592</v>
      </c>
      <c r="B593" s="65535">
        <v>44932</v>
      </c>
      <c r="C593" t="s">
        <v>26</v>
      </c>
      <c r="D593" t="s">
        <v>45</v>
      </c>
      <c r="E593" t="s">
        <v>30</v>
      </c>
      <c r="F593" t="s">
        <v>40</v>
      </c>
      <c r="G593" t="s">
        <v>22</v>
      </c>
      <c r="H593">
        <v>138</v>
      </c>
      <c r="I593">
        <v>1139</v>
      </c>
      <c r="J593">
        <v>157182</v>
      </c>
      <c r="K593">
        <v>826</v>
      </c>
      <c r="L593">
        <v>113988</v>
      </c>
      <c r="M593">
        <v>43194</v>
      </c>
    </row>
    <row r="594" spans="1:13">
      <c r="A594">
        <v>593</v>
      </c>
      <c r="B594" s="65535">
        <v>44961</v>
      </c>
      <c r="C594" t="s">
        <v>18</v>
      </c>
      <c r="D594" t="s">
        <v>47</v>
      </c>
      <c r="E594" t="s">
        <v>24</v>
      </c>
      <c r="F594" t="s">
        <v>48</v>
      </c>
      <c r="G594" t="s">
        <v>32</v>
      </c>
      <c r="H594">
        <v>52</v>
      </c>
      <c r="I594">
        <v>4692</v>
      </c>
      <c r="J594">
        <v>243984</v>
      </c>
      <c r="K594">
        <v>2084</v>
      </c>
      <c r="L594">
        <v>108368</v>
      </c>
      <c r="M594">
        <v>135616</v>
      </c>
    </row>
    <row r="595" spans="1:13">
      <c r="A595">
        <v>594</v>
      </c>
      <c r="B595" s="65535">
        <v>45014</v>
      </c>
      <c r="C595" t="s">
        <v>13</v>
      </c>
      <c r="D595" t="s">
        <v>43</v>
      </c>
      <c r="E595" t="s">
        <v>24</v>
      </c>
      <c r="F595" t="s">
        <v>48</v>
      </c>
      <c r="G595" t="s">
        <v>22</v>
      </c>
      <c r="H595">
        <v>439</v>
      </c>
      <c r="I595">
        <v>347</v>
      </c>
      <c r="J595">
        <v>152333</v>
      </c>
      <c r="K595">
        <v>255</v>
      </c>
      <c r="L595">
        <v>111945</v>
      </c>
      <c r="M595">
        <v>40388</v>
      </c>
    </row>
    <row r="596" spans="1:13">
      <c r="A596">
        <v>595</v>
      </c>
      <c r="B596" s="65535">
        <v>45127</v>
      </c>
      <c r="C596" t="s">
        <v>33</v>
      </c>
      <c r="D596" t="s">
        <v>46</v>
      </c>
      <c r="E596" t="s">
        <v>20</v>
      </c>
      <c r="F596" t="s">
        <v>44</v>
      </c>
      <c r="G596" t="s">
        <v>17</v>
      </c>
      <c r="H596">
        <v>96</v>
      </c>
      <c r="I596">
        <v>835</v>
      </c>
      <c r="J596">
        <v>80160</v>
      </c>
      <c r="K596">
        <v>111</v>
      </c>
      <c r="L596">
        <v>10656</v>
      </c>
      <c r="M596">
        <v>69504</v>
      </c>
    </row>
    <row r="597" spans="1:13">
      <c r="A597">
        <v>596</v>
      </c>
      <c r="B597" s="65535">
        <v>45037</v>
      </c>
      <c r="C597" t="s">
        <v>26</v>
      </c>
      <c r="D597" t="s">
        <v>36</v>
      </c>
      <c r="E597" t="s">
        <v>24</v>
      </c>
      <c r="F597" t="s">
        <v>48</v>
      </c>
      <c r="G597" t="s">
        <v>22</v>
      </c>
      <c r="H597">
        <v>375</v>
      </c>
      <c r="I597">
        <v>482</v>
      </c>
      <c r="J597">
        <v>180750</v>
      </c>
      <c r="K597">
        <v>372</v>
      </c>
      <c r="L597">
        <v>139500</v>
      </c>
      <c r="M597">
        <v>41250</v>
      </c>
    </row>
    <row r="598" spans="1:13">
      <c r="A598">
        <v>597</v>
      </c>
      <c r="B598" s="65535">
        <v>45255</v>
      </c>
      <c r="C598" t="s">
        <v>18</v>
      </c>
      <c r="D598" t="s">
        <v>19</v>
      </c>
      <c r="E598" t="s">
        <v>15</v>
      </c>
      <c r="F598" t="s">
        <v>49</v>
      </c>
      <c r="G598" t="s">
        <v>17</v>
      </c>
      <c r="H598">
        <v>349</v>
      </c>
      <c r="I598">
        <v>1042</v>
      </c>
      <c r="J598">
        <v>363658</v>
      </c>
      <c r="K598">
        <v>499</v>
      </c>
      <c r="L598">
        <v>174151</v>
      </c>
      <c r="M598">
        <v>189507</v>
      </c>
    </row>
    <row r="599" spans="1:13">
      <c r="A599">
        <v>598</v>
      </c>
      <c r="B599" s="65535">
        <v>44951</v>
      </c>
      <c r="C599" t="s">
        <v>26</v>
      </c>
      <c r="D599" t="s">
        <v>45</v>
      </c>
      <c r="E599" t="s">
        <v>15</v>
      </c>
      <c r="F599" t="s">
        <v>49</v>
      </c>
      <c r="G599" t="s">
        <v>22</v>
      </c>
      <c r="H599">
        <v>405</v>
      </c>
      <c r="I599">
        <v>3291</v>
      </c>
      <c r="J599">
        <v>1332855</v>
      </c>
      <c r="K599">
        <v>926</v>
      </c>
      <c r="L599">
        <v>375030</v>
      </c>
      <c r="M599">
        <v>957825</v>
      </c>
    </row>
    <row r="600" spans="1:13">
      <c r="A600">
        <v>599</v>
      </c>
      <c r="B600" s="65535">
        <v>44935</v>
      </c>
      <c r="C600" t="s">
        <v>18</v>
      </c>
      <c r="D600" t="s">
        <v>47</v>
      </c>
      <c r="E600" t="s">
        <v>30</v>
      </c>
      <c r="F600" t="s">
        <v>37</v>
      </c>
      <c r="G600" t="s">
        <v>22</v>
      </c>
      <c r="H600">
        <v>225</v>
      </c>
      <c r="I600">
        <v>428</v>
      </c>
      <c r="J600">
        <v>96300</v>
      </c>
      <c r="K600">
        <v>107</v>
      </c>
      <c r="L600">
        <v>24075</v>
      </c>
      <c r="M600">
        <v>72225</v>
      </c>
    </row>
    <row r="601" spans="1:13">
      <c r="A601">
        <v>600</v>
      </c>
      <c r="B601" s="65535">
        <v>45267</v>
      </c>
      <c r="C601" t="s">
        <v>26</v>
      </c>
      <c r="D601" t="s">
        <v>36</v>
      </c>
      <c r="E601" t="s">
        <v>15</v>
      </c>
      <c r="F601" t="s">
        <v>16</v>
      </c>
      <c r="G601" t="s">
        <v>22</v>
      </c>
      <c r="H601">
        <v>95</v>
      </c>
      <c r="I601">
        <v>1568</v>
      </c>
      <c r="J601">
        <v>148960</v>
      </c>
      <c r="K601">
        <v>190</v>
      </c>
      <c r="L601">
        <v>18050</v>
      </c>
      <c r="M601">
        <v>130910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9125-271B-4EA3-929B-B9CD47FDB1D6}">
  <dimension ref="A1:D122"/>
  <sheetViews>
    <sheetView showGridLines="0" tabSelected="1" topLeftCell="A61" workbookViewId="0">
      <selection activeCell="B61" sqref="A1:XFD1048576"/>
    </sheetView>
  </sheetViews>
  <sheetFormatPr defaultRowHeight="14.4"/>
  <cols>
    <col min="4" max="4" width="57.5546875" customWidth="1"/>
  </cols>
  <sheetData>
    <row r="1" spans="1:1" ht="31.2">
      <c r="A1" s="66" t="s">
        <v>52</v>
      </c>
    </row>
    <row r="3" spans="1:1" ht="23.4">
      <c r="A3" s="67" t="s">
        <v>53</v>
      </c>
    </row>
    <row r="4" spans="1:1">
      <c r="A4" s="68"/>
    </row>
    <row r="5" spans="1:1">
      <c r="A5" s="68" t="s">
        <v>54</v>
      </c>
    </row>
    <row r="6" spans="1:1">
      <c r="A6" s="68" t="s">
        <v>55</v>
      </c>
    </row>
    <row r="7" spans="1:1">
      <c r="A7" s="68" t="s">
        <v>56</v>
      </c>
    </row>
    <row r="8" spans="1:1">
      <c r="A8" s="68" t="s">
        <v>57</v>
      </c>
    </row>
    <row r="9" spans="1:1">
      <c r="A9" s="68" t="s">
        <v>58</v>
      </c>
    </row>
    <row r="11" spans="1:1" ht="18">
      <c r="A11" s="69" t="s">
        <v>59</v>
      </c>
    </row>
    <row r="12" spans="1:1">
      <c r="A12" s="68"/>
    </row>
    <row r="13" spans="1:1">
      <c r="A13" s="68" t="s">
        <v>60</v>
      </c>
    </row>
    <row r="14" spans="1:1">
      <c r="A14" s="68" t="s">
        <v>61</v>
      </c>
    </row>
    <row r="15" spans="1:1">
      <c r="A15" s="68" t="s">
        <v>62</v>
      </c>
    </row>
    <row r="16" spans="1:1">
      <c r="A16" s="68" t="s">
        <v>63</v>
      </c>
    </row>
    <row r="17" spans="1:1">
      <c r="A17" s="68" t="s">
        <v>64</v>
      </c>
    </row>
    <row r="18" spans="1:1">
      <c r="A18" s="68" t="s">
        <v>65</v>
      </c>
    </row>
    <row r="19" spans="1:1">
      <c r="A19" s="68" t="s">
        <v>66</v>
      </c>
    </row>
    <row r="21" spans="1:1" ht="18">
      <c r="A21" s="69" t="s">
        <v>67</v>
      </c>
    </row>
    <row r="22" spans="1:1">
      <c r="A22" s="68"/>
    </row>
    <row r="23" spans="1:1">
      <c r="A23" s="68" t="s">
        <v>68</v>
      </c>
    </row>
    <row r="24" spans="1:1">
      <c r="A24" s="68" t="s">
        <v>2</v>
      </c>
    </row>
    <row r="25" spans="1:1">
      <c r="A25" s="68" t="s">
        <v>3</v>
      </c>
    </row>
    <row r="26" spans="1:1">
      <c r="A26" s="68" t="s">
        <v>69</v>
      </c>
    </row>
    <row r="27" spans="1:1">
      <c r="A27" s="68" t="s">
        <v>70</v>
      </c>
    </row>
    <row r="31" spans="1:1" ht="31.2">
      <c r="A31" s="66" t="s">
        <v>71</v>
      </c>
    </row>
    <row r="33" spans="1:1" ht="23.4">
      <c r="A33" s="67" t="s">
        <v>53</v>
      </c>
    </row>
    <row r="34" spans="1:1">
      <c r="A34" s="68"/>
    </row>
    <row r="35" spans="1:1">
      <c r="A35" s="68" t="s">
        <v>72</v>
      </c>
    </row>
    <row r="36" spans="1:1">
      <c r="A36" s="68" t="s">
        <v>73</v>
      </c>
    </row>
    <row r="37" spans="1:1">
      <c r="A37" s="68" t="s">
        <v>74</v>
      </c>
    </row>
    <row r="38" spans="1:1">
      <c r="A38" s="68" t="s">
        <v>75</v>
      </c>
    </row>
    <row r="39" spans="1:1">
      <c r="A39" s="68" t="s">
        <v>76</v>
      </c>
    </row>
    <row r="41" spans="1:1" ht="18">
      <c r="A41" s="69" t="s">
        <v>59</v>
      </c>
    </row>
    <row r="42" spans="1:1">
      <c r="A42" s="68"/>
    </row>
    <row r="43" spans="1:1">
      <c r="A43" s="68" t="s">
        <v>77</v>
      </c>
    </row>
    <row r="44" spans="1:1">
      <c r="A44" s="68" t="s">
        <v>78</v>
      </c>
    </row>
    <row r="45" spans="1:1">
      <c r="A45" s="68" t="s">
        <v>79</v>
      </c>
    </row>
    <row r="46" spans="1:1">
      <c r="A46" s="68" t="s">
        <v>80</v>
      </c>
    </row>
    <row r="47" spans="1:1">
      <c r="A47" s="68" t="s">
        <v>81</v>
      </c>
    </row>
    <row r="48" spans="1:1">
      <c r="A48" s="68" t="s">
        <v>82</v>
      </c>
    </row>
    <row r="49" spans="1:1">
      <c r="A49" s="68" t="s">
        <v>83</v>
      </c>
    </row>
    <row r="51" spans="1:1" ht="18">
      <c r="A51" s="69" t="s">
        <v>67</v>
      </c>
    </row>
    <row r="52" spans="1:1">
      <c r="A52" s="68"/>
    </row>
    <row r="53" spans="1:1">
      <c r="A53" s="68" t="s">
        <v>69</v>
      </c>
    </row>
    <row r="54" spans="1:1">
      <c r="A54" s="68" t="s">
        <v>84</v>
      </c>
    </row>
    <row r="55" spans="1:1">
      <c r="A55" s="68" t="s">
        <v>2</v>
      </c>
    </row>
    <row r="56" spans="1:1">
      <c r="A56" s="68" t="s">
        <v>3</v>
      </c>
    </row>
    <row r="57" spans="1:1">
      <c r="A57" s="68" t="s">
        <v>70</v>
      </c>
    </row>
    <row r="61" spans="1:1" ht="31.2">
      <c r="A61" s="66" t="s">
        <v>85</v>
      </c>
    </row>
    <row r="63" spans="1:1" ht="23.4">
      <c r="A63" s="67" t="s">
        <v>53</v>
      </c>
    </row>
    <row r="64" spans="1:1">
      <c r="A64" s="68"/>
    </row>
    <row r="65" spans="1:1">
      <c r="A65" s="68" t="s">
        <v>86</v>
      </c>
    </row>
    <row r="66" spans="1:1">
      <c r="A66" s="68" t="s">
        <v>87</v>
      </c>
    </row>
    <row r="67" spans="1:1">
      <c r="A67" s="68" t="s">
        <v>88</v>
      </c>
    </row>
    <row r="68" spans="1:1">
      <c r="A68" s="68" t="s">
        <v>89</v>
      </c>
    </row>
    <row r="69" spans="1:1">
      <c r="A69" s="68" t="s">
        <v>90</v>
      </c>
    </row>
    <row r="71" spans="1:1" ht="18">
      <c r="A71" s="69" t="s">
        <v>59</v>
      </c>
    </row>
    <row r="72" spans="1:1">
      <c r="A72" s="68"/>
    </row>
    <row r="73" spans="1:1">
      <c r="A73" s="68" t="s">
        <v>91</v>
      </c>
    </row>
    <row r="74" spans="1:1">
      <c r="A74" s="68" t="s">
        <v>92</v>
      </c>
    </row>
    <row r="75" spans="1:1">
      <c r="A75" s="68" t="s">
        <v>93</v>
      </c>
    </row>
    <row r="76" spans="1:1">
      <c r="A76" s="68" t="s">
        <v>94</v>
      </c>
    </row>
    <row r="77" spans="1:1">
      <c r="A77" s="68" t="s">
        <v>95</v>
      </c>
    </row>
    <row r="78" spans="1:1">
      <c r="A78" s="68" t="s">
        <v>96</v>
      </c>
    </row>
    <row r="79" spans="1:1">
      <c r="A79" s="68" t="s">
        <v>97</v>
      </c>
    </row>
    <row r="81" spans="1:1" ht="18">
      <c r="A81" s="69" t="s">
        <v>67</v>
      </c>
    </row>
    <row r="82" spans="1:1">
      <c r="A82" s="68"/>
    </row>
    <row r="83" spans="1:1">
      <c r="A83" s="68" t="s">
        <v>2</v>
      </c>
    </row>
    <row r="84" spans="1:1">
      <c r="A84" s="68" t="s">
        <v>3</v>
      </c>
    </row>
    <row r="85" spans="1:1">
      <c r="A85" s="68" t="s">
        <v>69</v>
      </c>
    </row>
    <row r="86" spans="1:1">
      <c r="A86" s="68" t="s">
        <v>70</v>
      </c>
    </row>
    <row r="87" spans="1:1">
      <c r="A87" s="68" t="s">
        <v>68</v>
      </c>
    </row>
    <row r="91" spans="1:1" ht="23.4">
      <c r="A91" s="67"/>
    </row>
    <row r="93" spans="1:1" ht="18">
      <c r="A93" s="69"/>
    </row>
    <row r="94" spans="1:1">
      <c r="A94" s="65"/>
    </row>
    <row r="95" spans="1:1">
      <c r="A95" s="70"/>
    </row>
    <row r="97" spans="1:1" ht="18">
      <c r="A97" s="69"/>
    </row>
    <row r="98" spans="1:1">
      <c r="A98" s="65"/>
    </row>
    <row r="99" spans="1:1">
      <c r="A99" s="70"/>
    </row>
    <row r="100" spans="1:1">
      <c r="A100" s="70"/>
    </row>
    <row r="102" spans="1:1" ht="18">
      <c r="A102" s="69"/>
    </row>
    <row r="103" spans="1:1">
      <c r="A103" s="65"/>
    </row>
    <row r="104" spans="1:1">
      <c r="A104" s="70"/>
    </row>
    <row r="105" spans="1:1">
      <c r="A105" s="70"/>
    </row>
    <row r="107" spans="1:1" ht="18">
      <c r="A107" s="69"/>
    </row>
    <row r="108" spans="1:1">
      <c r="A108" s="65"/>
    </row>
    <row r="109" spans="1:1">
      <c r="A109" s="70"/>
    </row>
    <row r="110" spans="1:1">
      <c r="A110" s="70"/>
    </row>
    <row r="111" spans="1:1">
      <c r="A111" s="70"/>
    </row>
    <row r="112" spans="1:1">
      <c r="A112" s="70"/>
    </row>
    <row r="113" spans="1:4">
      <c r="A113" s="70"/>
    </row>
    <row r="117" spans="1:4" ht="18">
      <c r="A117" s="69"/>
    </row>
    <row r="119" spans="1:4">
      <c r="A119" s="71"/>
      <c r="B119" s="71"/>
      <c r="C119" s="71"/>
      <c r="D119" s="71"/>
    </row>
    <row r="120" spans="1:4">
      <c r="A120" s="72"/>
      <c r="B120" s="72"/>
      <c r="C120" s="72"/>
      <c r="D120" s="72"/>
    </row>
    <row r="121" spans="1:4">
      <c r="A121" s="72"/>
      <c r="B121" s="72"/>
      <c r="C121" s="72"/>
      <c r="D121" s="72"/>
    </row>
    <row r="122" spans="1:4">
      <c r="A122" s="72"/>
      <c r="B122" s="72"/>
      <c r="C122" s="72"/>
      <c r="D122" s="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2333F-5672-4490-993F-45C71ED95901}">
  <dimension ref="A3:Q134"/>
  <sheetViews>
    <sheetView zoomScale="95" workbookViewId="0">
      <selection activeCell="C20" sqref="C20"/>
    </sheetView>
  </sheetViews>
  <sheetFormatPr defaultRowHeight="14.4"/>
  <cols>
    <col min="1" max="1" width="16.6640625" bestFit="1" customWidth="1"/>
    <col min="2" max="2" width="17" bestFit="1" customWidth="1"/>
    <col min="3" max="3" width="12.109375" bestFit="1" customWidth="1"/>
    <col min="4" max="4" width="14.88671875" bestFit="1" customWidth="1"/>
    <col min="5" max="5" width="10.5546875" bestFit="1" customWidth="1"/>
    <col min="11" max="12" width="15.5546875" bestFit="1" customWidth="1"/>
    <col min="13" max="13" width="11.88671875" bestFit="1" customWidth="1"/>
    <col min="14" max="14" width="14.109375" bestFit="1" customWidth="1"/>
    <col min="15" max="15" width="13.88671875" bestFit="1" customWidth="1"/>
  </cols>
  <sheetData>
    <row r="3" spans="1:17">
      <c r="A3" s="65535" t="s">
        <v>103</v>
      </c>
      <c r="B3" t="s">
        <v>105</v>
      </c>
      <c r="K3" t="s">
        <v>98</v>
      </c>
      <c r="L3" t="s">
        <v>99</v>
      </c>
      <c r="M3" t="s">
        <v>100</v>
      </c>
      <c r="N3" t="s">
        <v>101</v>
      </c>
      <c r="O3" t="s">
        <v>102</v>
      </c>
    </row>
    <row r="4" spans="1:17">
      <c r="A4" s="65535" t="s">
        <v>106</v>
      </c>
      <c r="B4">
        <v>35052270</v>
      </c>
      <c r="K4">
        <f>SUM(Sales_data[Total_Sales])</f>
        <v>394779700</v>
      </c>
      <c r="L4">
        <f>SUM(Sales_data[Profit])</f>
        <v>199825304</v>
      </c>
      <c r="M4" s="65535">
        <f>COUNTA(Sales_data[Order_ID])</f>
        <v>600</v>
      </c>
      <c r="N4" s="65535">
        <f>SUM(Sales_data[Units_Sold])</f>
        <v>152423</v>
      </c>
      <c r="O4" s="65535">
        <f>SUM(Sales_data[Profit])/SUM(Sales_data[Total_Sales])</f>
        <v>0.50616914699514692</v>
      </c>
      <c r="P4" s="65535"/>
      <c r="Q4" s="65535"/>
    </row>
    <row r="5" spans="1:17">
      <c r="A5" s="65535" t="s">
        <v>107</v>
      </c>
      <c r="B5">
        <v>25147861</v>
      </c>
    </row>
    <row r="6" spans="1:17">
      <c r="A6" s="65535" t="s">
        <v>108</v>
      </c>
      <c r="B6">
        <v>26763167</v>
      </c>
      <c r="K6" s="65535">
        <f>SUM(Sales_data[Total_Sales])</f>
        <v>394779700</v>
      </c>
      <c r="L6" s="65535">
        <f>SUM(Sales_data[Profit])</f>
        <v>199825304</v>
      </c>
      <c r="M6" s="65535">
        <f>COUNTA(Sales_data[Order_ID])</f>
        <v>600</v>
      </c>
      <c r="N6" s="65535">
        <f>SUM(Sales_data[Units_Sold])</f>
        <v>152423</v>
      </c>
      <c r="O6" s="65535">
        <f>SUM(Sales_data[Profit])/SUM(Sales_data[Total_Sales])</f>
        <v>0.50616914699514692</v>
      </c>
    </row>
    <row r="7" spans="1:17">
      <c r="A7" s="65535" t="s">
        <v>109</v>
      </c>
      <c r="B7">
        <v>30501247</v>
      </c>
    </row>
    <row r="8" spans="1:17">
      <c r="A8" s="65535" t="s">
        <v>110</v>
      </c>
      <c r="B8">
        <v>30702527</v>
      </c>
    </row>
    <row r="9" spans="1:17">
      <c r="A9" s="65535" t="s">
        <v>111</v>
      </c>
      <c r="B9">
        <v>42379994</v>
      </c>
    </row>
    <row r="10" spans="1:17">
      <c r="A10" s="65535" t="s">
        <v>112</v>
      </c>
      <c r="B10">
        <v>28283255</v>
      </c>
    </row>
    <row r="11" spans="1:17">
      <c r="A11" s="65535" t="s">
        <v>113</v>
      </c>
      <c r="B11">
        <v>25250158</v>
      </c>
    </row>
    <row r="12" spans="1:17">
      <c r="A12" s="65535" t="s">
        <v>114</v>
      </c>
      <c r="B12">
        <v>32895126</v>
      </c>
    </row>
    <row r="13" spans="1:17">
      <c r="A13" s="65535" t="s">
        <v>115</v>
      </c>
      <c r="B13">
        <v>37917942</v>
      </c>
    </row>
    <row r="14" spans="1:17">
      <c r="A14" s="65535" t="s">
        <v>116</v>
      </c>
      <c r="B14">
        <v>37168257</v>
      </c>
    </row>
    <row r="15" spans="1:17">
      <c r="A15" s="65535" t="s">
        <v>117</v>
      </c>
      <c r="B15">
        <v>42717896</v>
      </c>
    </row>
    <row r="16" spans="1:17">
      <c r="A16" s="65535" t="s">
        <v>104</v>
      </c>
      <c r="B16">
        <v>394779700</v>
      </c>
    </row>
    <row r="22" spans="1:2">
      <c r="A22" s="65535" t="s">
        <v>103</v>
      </c>
      <c r="B22" t="s">
        <v>105</v>
      </c>
    </row>
    <row r="23" spans="1:2">
      <c r="A23" s="65535" t="s">
        <v>26</v>
      </c>
      <c r="B23">
        <v>86727449</v>
      </c>
    </row>
    <row r="24" spans="1:2">
      <c r="A24" s="65535" t="s">
        <v>33</v>
      </c>
      <c r="B24">
        <v>93819346</v>
      </c>
    </row>
    <row r="25" spans="1:2">
      <c r="A25" s="65535" t="s">
        <v>18</v>
      </c>
      <c r="B25">
        <v>115739696</v>
      </c>
    </row>
    <row r="26" spans="1:2">
      <c r="A26" s="65535" t="s">
        <v>13</v>
      </c>
      <c r="B26">
        <v>98493209</v>
      </c>
    </row>
    <row r="27" spans="1:2">
      <c r="A27" s="65535" t="s">
        <v>104</v>
      </c>
      <c r="B27">
        <v>394779700</v>
      </c>
    </row>
    <row r="38" spans="1:2">
      <c r="A38" s="65535" t="s">
        <v>103</v>
      </c>
      <c r="B38" t="s">
        <v>105</v>
      </c>
    </row>
    <row r="39" spans="1:2">
      <c r="A39" s="65535" t="s">
        <v>24</v>
      </c>
      <c r="B39">
        <v>100910280</v>
      </c>
    </row>
    <row r="40" spans="1:2">
      <c r="A40" s="65535" t="s">
        <v>15</v>
      </c>
      <c r="B40">
        <v>89189657</v>
      </c>
    </row>
    <row r="41" spans="1:2">
      <c r="A41" s="65535" t="s">
        <v>30</v>
      </c>
      <c r="B41">
        <v>97745668</v>
      </c>
    </row>
    <row r="42" spans="1:2">
      <c r="A42" s="65535" t="s">
        <v>20</v>
      </c>
      <c r="B42">
        <v>106934095</v>
      </c>
    </row>
    <row r="43" spans="1:2">
      <c r="A43" s="65535" t="s">
        <v>104</v>
      </c>
      <c r="B43">
        <v>394779700</v>
      </c>
    </row>
    <row r="51" spans="1:2">
      <c r="A51" s="65535" t="s">
        <v>103</v>
      </c>
      <c r="B51" t="s">
        <v>105</v>
      </c>
    </row>
    <row r="52" spans="1:2">
      <c r="A52" s="65535" t="s">
        <v>17</v>
      </c>
      <c r="B52">
        <v>136593507</v>
      </c>
    </row>
    <row r="53" spans="1:2">
      <c r="A53" s="65535" t="s">
        <v>32</v>
      </c>
      <c r="B53">
        <v>134104755</v>
      </c>
    </row>
    <row r="54" spans="1:2">
      <c r="A54" s="65535" t="s">
        <v>22</v>
      </c>
      <c r="B54">
        <v>124081438</v>
      </c>
    </row>
    <row r="55" spans="1:2">
      <c r="A55" s="65535" t="s">
        <v>104</v>
      </c>
      <c r="B55">
        <v>394779700</v>
      </c>
    </row>
    <row r="65" spans="1:2">
      <c r="A65" s="65535" t="s">
        <v>103</v>
      </c>
      <c r="B65" t="s">
        <v>105</v>
      </c>
    </row>
    <row r="66" spans="1:2">
      <c r="A66" s="65535" t="s">
        <v>31</v>
      </c>
      <c r="B66">
        <v>41757182</v>
      </c>
    </row>
    <row r="67" spans="1:2">
      <c r="A67" s="65535" t="s">
        <v>28</v>
      </c>
      <c r="B67">
        <v>38159956</v>
      </c>
    </row>
    <row r="68" spans="1:2">
      <c r="A68" s="65535" t="s">
        <v>48</v>
      </c>
      <c r="B68">
        <v>37321472</v>
      </c>
    </row>
    <row r="69" spans="1:2">
      <c r="A69" s="65535" t="s">
        <v>21</v>
      </c>
      <c r="B69">
        <v>36852680</v>
      </c>
    </row>
    <row r="70" spans="1:2">
      <c r="A70" s="65535" t="s">
        <v>16</v>
      </c>
      <c r="B70">
        <v>36745295</v>
      </c>
    </row>
    <row r="71" spans="1:2">
      <c r="A71" s="65535" t="s">
        <v>35</v>
      </c>
      <c r="B71">
        <v>33480817</v>
      </c>
    </row>
    <row r="72" spans="1:2">
      <c r="A72" s="65535" t="s">
        <v>44</v>
      </c>
      <c r="B72">
        <v>31921459</v>
      </c>
    </row>
    <row r="73" spans="1:2">
      <c r="A73" s="65535" t="s">
        <v>25</v>
      </c>
      <c r="B73">
        <v>30107991</v>
      </c>
    </row>
    <row r="74" spans="1:2">
      <c r="A74" s="65535" t="s">
        <v>37</v>
      </c>
      <c r="B74">
        <v>29881478</v>
      </c>
    </row>
    <row r="75" spans="1:2">
      <c r="A75" s="65535" t="s">
        <v>49</v>
      </c>
      <c r="B75">
        <v>27182600</v>
      </c>
    </row>
    <row r="76" spans="1:2">
      <c r="A76" s="65535" t="s">
        <v>40</v>
      </c>
      <c r="B76">
        <v>26107008</v>
      </c>
    </row>
    <row r="77" spans="1:2">
      <c r="A77" s="65535" t="s">
        <v>29</v>
      </c>
      <c r="B77">
        <v>25261762</v>
      </c>
    </row>
    <row r="78" spans="1:2">
      <c r="A78" s="65535" t="s">
        <v>104</v>
      </c>
      <c r="B78">
        <v>394779700</v>
      </c>
    </row>
    <row r="84" spans="1:3">
      <c r="A84" s="65535" t="s">
        <v>103</v>
      </c>
      <c r="B84" t="s">
        <v>105</v>
      </c>
      <c r="C84" t="s">
        <v>118</v>
      </c>
    </row>
    <row r="85" spans="1:3">
      <c r="A85" s="65535" t="s">
        <v>48</v>
      </c>
      <c r="B85">
        <v>37321472</v>
      </c>
      <c r="C85">
        <v>18440123</v>
      </c>
    </row>
    <row r="86" spans="1:3">
      <c r="A86" s="65535" t="s">
        <v>16</v>
      </c>
      <c r="B86">
        <v>36745295</v>
      </c>
      <c r="C86">
        <v>17467725</v>
      </c>
    </row>
    <row r="87" spans="1:3">
      <c r="A87" s="65535" t="s">
        <v>31</v>
      </c>
      <c r="B87">
        <v>41757182</v>
      </c>
      <c r="C87">
        <v>22703026</v>
      </c>
    </row>
    <row r="88" spans="1:3">
      <c r="A88" s="65535" t="s">
        <v>40</v>
      </c>
      <c r="B88">
        <v>26107008</v>
      </c>
      <c r="C88">
        <v>12793925</v>
      </c>
    </row>
    <row r="89" spans="1:3">
      <c r="A89" s="65535" t="s">
        <v>37</v>
      </c>
      <c r="B89">
        <v>29881478</v>
      </c>
      <c r="C89">
        <v>15672125</v>
      </c>
    </row>
    <row r="90" spans="1:3">
      <c r="A90" s="65535" t="s">
        <v>21</v>
      </c>
      <c r="B90">
        <v>36852680</v>
      </c>
      <c r="C90">
        <v>17984226</v>
      </c>
    </row>
    <row r="91" spans="1:3">
      <c r="A91" s="65535" t="s">
        <v>44</v>
      </c>
      <c r="B91">
        <v>31921459</v>
      </c>
      <c r="C91">
        <v>16613230</v>
      </c>
    </row>
    <row r="92" spans="1:3">
      <c r="A92" s="65535" t="s">
        <v>49</v>
      </c>
      <c r="B92">
        <v>27182600</v>
      </c>
      <c r="C92">
        <v>13824802</v>
      </c>
    </row>
    <row r="93" spans="1:3">
      <c r="A93" s="65535" t="s">
        <v>35</v>
      </c>
      <c r="B93">
        <v>33480817</v>
      </c>
      <c r="C93">
        <v>17199336</v>
      </c>
    </row>
    <row r="94" spans="1:3">
      <c r="A94" s="65535" t="s">
        <v>25</v>
      </c>
      <c r="B94">
        <v>30107991</v>
      </c>
      <c r="C94">
        <v>15009035</v>
      </c>
    </row>
    <row r="95" spans="1:3">
      <c r="A95" s="65535" t="s">
        <v>29</v>
      </c>
      <c r="B95">
        <v>25261762</v>
      </c>
      <c r="C95">
        <v>14376836</v>
      </c>
    </row>
    <row r="96" spans="1:3">
      <c r="A96" s="65535" t="s">
        <v>28</v>
      </c>
      <c r="B96">
        <v>38159956</v>
      </c>
      <c r="C96">
        <v>17740915</v>
      </c>
    </row>
    <row r="97" spans="1:3">
      <c r="A97" s="65535" t="s">
        <v>104</v>
      </c>
      <c r="B97">
        <v>394779700</v>
      </c>
      <c r="C97">
        <v>199825304</v>
      </c>
    </row>
    <row r="99" spans="1:3">
      <c r="A99" t="s">
        <v>103</v>
      </c>
      <c r="B99" t="s">
        <v>119</v>
      </c>
      <c r="C99" t="s">
        <v>12</v>
      </c>
    </row>
    <row r="100" spans="1:3">
      <c r="A100" s="65535" t="s">
        <v>48</v>
      </c>
      <c r="B100">
        <v>37321472</v>
      </c>
      <c r="C100">
        <v>18440123</v>
      </c>
    </row>
    <row r="101" spans="1:3">
      <c r="A101" s="65535" t="s">
        <v>16</v>
      </c>
      <c r="B101">
        <v>36745295</v>
      </c>
      <c r="C101">
        <v>17467725</v>
      </c>
    </row>
    <row r="102" spans="1:3">
      <c r="A102" s="65535" t="s">
        <v>31</v>
      </c>
      <c r="B102">
        <v>41757182</v>
      </c>
      <c r="C102">
        <v>22703026</v>
      </c>
    </row>
    <row r="103" spans="1:3">
      <c r="A103" s="65535" t="s">
        <v>40</v>
      </c>
      <c r="B103">
        <v>26107008</v>
      </c>
      <c r="C103">
        <v>12793925</v>
      </c>
    </row>
    <row r="104" spans="1:3">
      <c r="A104" s="65535" t="s">
        <v>37</v>
      </c>
      <c r="B104">
        <v>29881478</v>
      </c>
      <c r="C104">
        <v>15672125</v>
      </c>
    </row>
    <row r="105" spans="1:3">
      <c r="A105" s="65535" t="s">
        <v>21</v>
      </c>
      <c r="B105">
        <v>36852680</v>
      </c>
      <c r="C105">
        <v>17984226</v>
      </c>
    </row>
    <row r="106" spans="1:3">
      <c r="A106" s="65535" t="s">
        <v>44</v>
      </c>
      <c r="B106">
        <v>31921459</v>
      </c>
      <c r="C106">
        <v>16613230</v>
      </c>
    </row>
    <row r="107" spans="1:3">
      <c r="A107" s="65535" t="s">
        <v>49</v>
      </c>
      <c r="B107">
        <v>27182600</v>
      </c>
      <c r="C107">
        <v>13824802</v>
      </c>
    </row>
    <row r="108" spans="1:3">
      <c r="A108" s="65535" t="s">
        <v>35</v>
      </c>
      <c r="B108">
        <v>33480817</v>
      </c>
      <c r="C108">
        <v>17199336</v>
      </c>
    </row>
    <row r="109" spans="1:3">
      <c r="A109" s="65535" t="s">
        <v>25</v>
      </c>
      <c r="B109">
        <v>30107991</v>
      </c>
      <c r="C109">
        <v>15009035</v>
      </c>
    </row>
    <row r="110" spans="1:3">
      <c r="A110" s="65535" t="s">
        <v>29</v>
      </c>
      <c r="B110">
        <v>25261762</v>
      </c>
      <c r="C110">
        <v>14376836</v>
      </c>
    </row>
    <row r="111" spans="1:3">
      <c r="A111" s="65535" t="s">
        <v>28</v>
      </c>
      <c r="B111">
        <v>38159956</v>
      </c>
      <c r="C111">
        <v>17740915</v>
      </c>
    </row>
    <row r="112" spans="1:3">
      <c r="A112" s="65535" t="s">
        <v>104</v>
      </c>
      <c r="B112">
        <v>394779700</v>
      </c>
      <c r="C112">
        <v>199825304</v>
      </c>
    </row>
    <row r="117" spans="1:5">
      <c r="A117" s="65535" t="s">
        <v>103</v>
      </c>
      <c r="B117" t="s">
        <v>105</v>
      </c>
      <c r="D117" t="s">
        <v>103</v>
      </c>
      <c r="E117" t="s">
        <v>119</v>
      </c>
    </row>
    <row r="118" spans="1:5">
      <c r="A118" s="65535" t="s">
        <v>27</v>
      </c>
      <c r="B118">
        <v>21912982</v>
      </c>
      <c r="D118" s="65535" t="s">
        <v>27</v>
      </c>
      <c r="E118">
        <v>21912982</v>
      </c>
    </row>
    <row r="119" spans="1:5">
      <c r="A119" s="65535" t="s">
        <v>39</v>
      </c>
      <c r="B119">
        <v>23457885</v>
      </c>
      <c r="D119" s="65535" t="s">
        <v>39</v>
      </c>
      <c r="E119">
        <v>23457885</v>
      </c>
    </row>
    <row r="120" spans="1:5">
      <c r="A120" s="65535" t="s">
        <v>42</v>
      </c>
      <c r="B120">
        <v>27768865</v>
      </c>
      <c r="D120" s="65535" t="s">
        <v>42</v>
      </c>
      <c r="E120">
        <v>27768865</v>
      </c>
    </row>
    <row r="121" spans="1:5">
      <c r="A121" s="65535" t="s">
        <v>14</v>
      </c>
      <c r="B121">
        <v>25245887</v>
      </c>
      <c r="D121" s="65535" t="s">
        <v>14</v>
      </c>
      <c r="E121">
        <v>25245887</v>
      </c>
    </row>
    <row r="122" spans="1:5">
      <c r="A122" s="65535" t="s">
        <v>41</v>
      </c>
      <c r="B122">
        <v>26570548</v>
      </c>
      <c r="D122" s="65535" t="s">
        <v>41</v>
      </c>
      <c r="E122">
        <v>26570548</v>
      </c>
    </row>
    <row r="123" spans="1:5">
      <c r="A123" s="65535" t="s">
        <v>45</v>
      </c>
      <c r="B123">
        <v>23237365</v>
      </c>
      <c r="D123" s="65535" t="s">
        <v>45</v>
      </c>
      <c r="E123">
        <v>23237365</v>
      </c>
    </row>
    <row r="124" spans="1:5">
      <c r="A124" s="65535" t="s">
        <v>38</v>
      </c>
      <c r="B124">
        <v>25924077</v>
      </c>
      <c r="D124" s="65535" t="s">
        <v>38</v>
      </c>
      <c r="E124">
        <v>25924077</v>
      </c>
    </row>
    <row r="125" spans="1:5">
      <c r="A125" s="65535" t="s">
        <v>23</v>
      </c>
      <c r="B125">
        <v>25065619</v>
      </c>
      <c r="D125" s="65535" t="s">
        <v>23</v>
      </c>
      <c r="E125">
        <v>25065619</v>
      </c>
    </row>
    <row r="126" spans="1:5">
      <c r="A126" s="65535" t="s">
        <v>50</v>
      </c>
      <c r="B126">
        <v>31692839</v>
      </c>
      <c r="D126" s="65535" t="s">
        <v>50</v>
      </c>
      <c r="E126">
        <v>31692839</v>
      </c>
    </row>
    <row r="127" spans="1:5">
      <c r="A127" s="65535" t="s">
        <v>36</v>
      </c>
      <c r="B127">
        <v>23674367</v>
      </c>
      <c r="D127" s="65535" t="s">
        <v>36</v>
      </c>
      <c r="E127">
        <v>23674367</v>
      </c>
    </row>
    <row r="128" spans="1:5">
      <c r="A128" s="65535" t="s">
        <v>46</v>
      </c>
      <c r="B128">
        <v>15769520</v>
      </c>
      <c r="D128" s="65535" t="s">
        <v>46</v>
      </c>
      <c r="E128">
        <v>15769520</v>
      </c>
    </row>
    <row r="129" spans="1:5">
      <c r="A129" s="65535" t="s">
        <v>43</v>
      </c>
      <c r="B129">
        <v>20412838</v>
      </c>
      <c r="D129" s="65535" t="s">
        <v>43</v>
      </c>
      <c r="E129">
        <v>20412838</v>
      </c>
    </row>
    <row r="130" spans="1:5">
      <c r="A130" s="65535" t="s">
        <v>47</v>
      </c>
      <c r="B130">
        <v>24525028</v>
      </c>
      <c r="D130" s="65535" t="s">
        <v>47</v>
      </c>
      <c r="E130">
        <v>24525028</v>
      </c>
    </row>
    <row r="131" spans="1:5">
      <c r="A131" s="65535" t="s">
        <v>19</v>
      </c>
      <c r="B131">
        <v>33597752</v>
      </c>
      <c r="D131" s="65535" t="s">
        <v>19</v>
      </c>
      <c r="E131">
        <v>33597752</v>
      </c>
    </row>
    <row r="132" spans="1:5">
      <c r="A132" s="65535" t="s">
        <v>34</v>
      </c>
      <c r="B132">
        <v>28021393</v>
      </c>
      <c r="D132" s="65535" t="s">
        <v>34</v>
      </c>
      <c r="E132">
        <v>28021393</v>
      </c>
    </row>
    <row r="133" spans="1:5">
      <c r="A133" s="65535" t="s">
        <v>51</v>
      </c>
      <c r="B133">
        <v>17902735</v>
      </c>
      <c r="D133" s="65535" t="s">
        <v>51</v>
      </c>
      <c r="E133">
        <v>17902735</v>
      </c>
    </row>
    <row r="134" spans="1:5">
      <c r="A134" s="65535" t="s">
        <v>104</v>
      </c>
      <c r="B134">
        <v>394779700</v>
      </c>
      <c r="D134" s="65535" t="s">
        <v>104</v>
      </c>
      <c r="E134">
        <v>394779700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2DEA-DCC4-442C-9E51-42733FECB8C8}">
  <dimension ref="B6:I102"/>
  <sheetViews>
    <sheetView topLeftCell="L26" workbookViewId="0">
      <selection activeCell="L45" sqref="L45"/>
    </sheetView>
  </sheetViews>
  <sheetFormatPr defaultRowHeight="14.4"/>
  <cols>
    <col min="2" max="2" width="16.21875" bestFit="1" customWidth="1"/>
    <col min="3" max="3" width="12.109375" bestFit="1" customWidth="1"/>
    <col min="4" max="4" width="14.88671875" bestFit="1" customWidth="1"/>
    <col min="5" max="5" width="13.21875" bestFit="1" customWidth="1"/>
    <col min="6" max="6" width="12.109375" bestFit="1" customWidth="1"/>
    <col min="7" max="7" width="19" bestFit="1" customWidth="1"/>
    <col min="8" max="8" width="27" bestFit="1" customWidth="1"/>
    <col min="9" max="9" width="22.77734375" bestFit="1" customWidth="1"/>
  </cols>
  <sheetData>
    <row r="6" spans="2:9">
      <c r="D6" s="65535"/>
      <c r="E6" s="65535"/>
      <c r="G6" s="65535"/>
      <c r="H6" s="65535"/>
    </row>
    <row r="7" spans="2:9">
      <c r="E7" t="s">
        <v>123</v>
      </c>
      <c r="F7" t="s">
        <v>124</v>
      </c>
      <c r="G7" t="s">
        <v>125</v>
      </c>
      <c r="H7" t="s">
        <v>126</v>
      </c>
      <c r="I7" t="s">
        <v>127</v>
      </c>
    </row>
    <row r="8" spans="2:9">
      <c r="E8">
        <f>COUNTA(Sales_data[Product_Name])</f>
        <v>600</v>
      </c>
      <c r="F8" t="str">
        <f>_xlfn.XLOOKUP(MAX(Sales_data[Total_Sales]),Sales_data[Total_Sales],Sales_data[Product_Name])</f>
        <v>Grocery Pack</v>
      </c>
      <c r="G8" t="str">
        <f>_xlfn.XLOOKUP(MAX(Sales_data[Profit]),Sales_data[Profit],Sales_data[Product_Name])</f>
        <v>Grocery Pack</v>
      </c>
      <c r="H8" s="65535">
        <f>AVERAGE(Sales_data[Total_Sales])</f>
        <v>657966.16666666663</v>
      </c>
      <c r="I8" s="65535">
        <f>SUM(Sales_data[Profit])/COUNTA(Sales_data[Product_Name])</f>
        <v>333042.17333333334</v>
      </c>
    </row>
    <row r="10" spans="2:9">
      <c r="E10">
        <f>COUNTA(Sales_data[Product_Name])</f>
        <v>600</v>
      </c>
      <c r="F10" t="str">
        <f>_xlfn.XLOOKUP(MAX(Sales_data[Total_Sales]),Sales_data[Total_Sales],Sales_data[Product_Name])</f>
        <v>Grocery Pack</v>
      </c>
      <c r="G10" t="str">
        <f>_xlfn.XLOOKUP(MAX(Sales_data[Profit]),Sales_data[Profit],Sales_data[Product_Name])</f>
        <v>Grocery Pack</v>
      </c>
      <c r="H10" s="65535">
        <f>AVERAGE(Sales_data[Total_Sales])</f>
        <v>657966.16666666663</v>
      </c>
      <c r="I10" s="65535">
        <f>SUM(Sales_data[Profit])/COUNTA(Sales_data[Product_Name])</f>
        <v>333042.17333333334</v>
      </c>
    </row>
    <row r="14" spans="2:9">
      <c r="B14" s="65535"/>
    </row>
    <row r="15" spans="2:9">
      <c r="B15" s="65535"/>
    </row>
    <row r="16" spans="2:9">
      <c r="B16" s="65535"/>
    </row>
    <row r="17" spans="2:6">
      <c r="B17" s="65535"/>
    </row>
    <row r="18" spans="2:6">
      <c r="B18" s="65535"/>
    </row>
    <row r="19" spans="2:6">
      <c r="B19" s="65535"/>
    </row>
    <row r="20" spans="2:6">
      <c r="B20" s="65535"/>
    </row>
    <row r="21" spans="2:6">
      <c r="B21" s="65535"/>
    </row>
    <row r="22" spans="2:6">
      <c r="B22" s="65535"/>
      <c r="E22" s="65535" t="s">
        <v>103</v>
      </c>
      <c r="F22" t="s">
        <v>118</v>
      </c>
    </row>
    <row r="23" spans="2:6">
      <c r="B23" s="65535"/>
      <c r="E23" s="65535" t="s">
        <v>24</v>
      </c>
      <c r="F23" s="65535">
        <v>50648494</v>
      </c>
    </row>
    <row r="24" spans="2:6">
      <c r="B24" s="65535"/>
      <c r="E24" s="65535" t="s">
        <v>15</v>
      </c>
      <c r="F24" s="65535">
        <v>45669363</v>
      </c>
    </row>
    <row r="25" spans="2:6">
      <c r="B25" s="65535"/>
      <c r="E25" s="65535" t="s">
        <v>30</v>
      </c>
      <c r="F25" s="65535">
        <v>51169076</v>
      </c>
    </row>
    <row r="26" spans="2:6">
      <c r="B26" s="65535"/>
      <c r="E26" s="65535" t="s">
        <v>20</v>
      </c>
      <c r="F26" s="65535">
        <v>52338371</v>
      </c>
    </row>
    <row r="27" spans="2:6">
      <c r="E27" s="65535" t="s">
        <v>104</v>
      </c>
      <c r="F27" s="65535">
        <v>199825304</v>
      </c>
    </row>
    <row r="30" spans="2:6">
      <c r="B30" s="65535" t="s">
        <v>103</v>
      </c>
      <c r="C30" t="s">
        <v>118</v>
      </c>
    </row>
    <row r="31" spans="2:6">
      <c r="B31" s="65535" t="s">
        <v>31</v>
      </c>
      <c r="C31" s="65535">
        <v>22703026</v>
      </c>
    </row>
    <row r="32" spans="2:6">
      <c r="B32" s="65535" t="s">
        <v>48</v>
      </c>
      <c r="C32" s="65535">
        <v>18440123</v>
      </c>
    </row>
    <row r="33" spans="2:3">
      <c r="B33" s="65535" t="s">
        <v>21</v>
      </c>
      <c r="C33" s="65535">
        <v>17984226</v>
      </c>
    </row>
    <row r="34" spans="2:3">
      <c r="B34" s="65535" t="s">
        <v>28</v>
      </c>
      <c r="C34" s="65535">
        <v>17740915</v>
      </c>
    </row>
    <row r="35" spans="2:3">
      <c r="B35" s="65535" t="s">
        <v>16</v>
      </c>
      <c r="C35" s="65535">
        <v>17467725</v>
      </c>
    </row>
    <row r="36" spans="2:3">
      <c r="B36" s="65535" t="s">
        <v>35</v>
      </c>
      <c r="C36" s="65535">
        <v>17199336</v>
      </c>
    </row>
    <row r="37" spans="2:3">
      <c r="B37" s="65535" t="s">
        <v>44</v>
      </c>
      <c r="C37" s="65535">
        <v>16613230</v>
      </c>
    </row>
    <row r="38" spans="2:3">
      <c r="B38" s="65535" t="s">
        <v>37</v>
      </c>
      <c r="C38" s="65535">
        <v>15672125</v>
      </c>
    </row>
    <row r="39" spans="2:3">
      <c r="B39" s="65535" t="s">
        <v>25</v>
      </c>
      <c r="C39" s="65535">
        <v>15009035</v>
      </c>
    </row>
    <row r="40" spans="2:3">
      <c r="B40" s="65535" t="s">
        <v>29</v>
      </c>
      <c r="C40" s="65535">
        <v>14376836</v>
      </c>
    </row>
    <row r="41" spans="2:3">
      <c r="B41" s="65535" t="s">
        <v>49</v>
      </c>
      <c r="C41" s="65535">
        <v>13824802</v>
      </c>
    </row>
    <row r="42" spans="2:3">
      <c r="B42" s="65535" t="s">
        <v>40</v>
      </c>
      <c r="C42" s="65535">
        <v>12793925</v>
      </c>
    </row>
    <row r="43" spans="2:3">
      <c r="B43" s="65535" t="s">
        <v>104</v>
      </c>
      <c r="C43" s="65535">
        <v>199825304</v>
      </c>
    </row>
    <row r="46" spans="2:3">
      <c r="B46" s="65535" t="s">
        <v>103</v>
      </c>
      <c r="C46" t="s">
        <v>118</v>
      </c>
    </row>
    <row r="47" spans="2:3">
      <c r="B47" s="65535" t="s">
        <v>106</v>
      </c>
      <c r="C47" s="65535">
        <v>15431259</v>
      </c>
    </row>
    <row r="48" spans="2:3">
      <c r="B48" s="65535" t="s">
        <v>107</v>
      </c>
      <c r="C48" s="65535">
        <v>11376501</v>
      </c>
    </row>
    <row r="49" spans="2:3">
      <c r="B49" s="65535" t="s">
        <v>108</v>
      </c>
      <c r="C49" s="65535">
        <v>11935519</v>
      </c>
    </row>
    <row r="50" spans="2:3">
      <c r="B50" s="65535" t="s">
        <v>109</v>
      </c>
      <c r="C50" s="65535">
        <v>14283232</v>
      </c>
    </row>
    <row r="51" spans="2:3">
      <c r="B51" s="65535" t="s">
        <v>110</v>
      </c>
      <c r="C51" s="65535">
        <v>16104265</v>
      </c>
    </row>
    <row r="52" spans="2:3">
      <c r="B52" s="65535" t="s">
        <v>111</v>
      </c>
      <c r="C52" s="65535">
        <v>21263500</v>
      </c>
    </row>
    <row r="53" spans="2:3">
      <c r="B53" s="65535" t="s">
        <v>112</v>
      </c>
      <c r="C53" s="65535">
        <v>15598000</v>
      </c>
    </row>
    <row r="54" spans="2:3">
      <c r="B54" s="65535" t="s">
        <v>113</v>
      </c>
      <c r="C54" s="65535">
        <v>13447297</v>
      </c>
    </row>
    <row r="55" spans="2:3">
      <c r="B55" s="65535" t="s">
        <v>114</v>
      </c>
      <c r="C55" s="65535">
        <v>17727728</v>
      </c>
    </row>
    <row r="56" spans="2:3">
      <c r="B56" s="65535" t="s">
        <v>115</v>
      </c>
      <c r="C56" s="65535">
        <v>19160472</v>
      </c>
    </row>
    <row r="57" spans="2:3">
      <c r="B57" s="65535" t="s">
        <v>116</v>
      </c>
      <c r="C57" s="65535">
        <v>21422401</v>
      </c>
    </row>
    <row r="58" spans="2:3">
      <c r="B58" s="65535" t="s">
        <v>117</v>
      </c>
      <c r="C58" s="65535">
        <v>22075130</v>
      </c>
    </row>
    <row r="59" spans="2:3">
      <c r="B59" s="65535" t="s">
        <v>104</v>
      </c>
      <c r="C59" s="65535">
        <v>199825304</v>
      </c>
    </row>
    <row r="62" spans="2:3">
      <c r="B62" s="65535" t="s">
        <v>103</v>
      </c>
      <c r="C62" t="s">
        <v>120</v>
      </c>
    </row>
    <row r="63" spans="2:3">
      <c r="B63" s="65535" t="s">
        <v>24</v>
      </c>
      <c r="C63" s="65535">
        <v>163</v>
      </c>
    </row>
    <row r="64" spans="2:3">
      <c r="B64" s="65535" t="s">
        <v>15</v>
      </c>
      <c r="C64" s="65535">
        <v>140</v>
      </c>
    </row>
    <row r="65" spans="2:3">
      <c r="B65" s="65535" t="s">
        <v>30</v>
      </c>
      <c r="C65" s="65535">
        <v>138</v>
      </c>
    </row>
    <row r="66" spans="2:3">
      <c r="B66" s="65535" t="s">
        <v>20</v>
      </c>
      <c r="C66" s="65535">
        <v>159</v>
      </c>
    </row>
    <row r="67" spans="2:3">
      <c r="B67" s="65535" t="s">
        <v>104</v>
      </c>
      <c r="C67" s="65535">
        <v>600</v>
      </c>
    </row>
    <row r="74" spans="2:3">
      <c r="B74" s="65535" t="s">
        <v>103</v>
      </c>
      <c r="C74" t="s">
        <v>121</v>
      </c>
    </row>
    <row r="75" spans="2:3">
      <c r="B75" s="65535" t="s">
        <v>49</v>
      </c>
      <c r="C75" s="65535">
        <v>41</v>
      </c>
    </row>
    <row r="76" spans="2:3">
      <c r="B76" s="65535" t="s">
        <v>37</v>
      </c>
      <c r="C76" s="65535">
        <v>44</v>
      </c>
    </row>
    <row r="77" spans="2:3">
      <c r="B77" s="65535" t="s">
        <v>40</v>
      </c>
      <c r="C77" s="65535">
        <v>45</v>
      </c>
    </row>
    <row r="78" spans="2:3">
      <c r="B78" s="65535" t="s">
        <v>44</v>
      </c>
      <c r="C78" s="65535">
        <v>49</v>
      </c>
    </row>
    <row r="79" spans="2:3">
      <c r="B79" s="65535" t="s">
        <v>29</v>
      </c>
      <c r="C79" s="65535">
        <v>49</v>
      </c>
    </row>
    <row r="80" spans="2:3">
      <c r="B80" s="65535" t="s">
        <v>31</v>
      </c>
      <c r="C80" s="65535">
        <v>49</v>
      </c>
    </row>
    <row r="81" spans="2:3">
      <c r="B81" s="65535" t="s">
        <v>16</v>
      </c>
      <c r="C81" s="65535">
        <v>50</v>
      </c>
    </row>
    <row r="82" spans="2:3">
      <c r="B82" s="65535" t="s">
        <v>25</v>
      </c>
      <c r="C82" s="65535">
        <v>53</v>
      </c>
    </row>
    <row r="83" spans="2:3">
      <c r="B83" s="65535" t="s">
        <v>35</v>
      </c>
      <c r="C83" s="65535">
        <v>54</v>
      </c>
    </row>
    <row r="84" spans="2:3">
      <c r="B84" s="65535" t="s">
        <v>21</v>
      </c>
      <c r="C84" s="65535">
        <v>55</v>
      </c>
    </row>
    <row r="85" spans="2:3">
      <c r="B85" s="65535" t="s">
        <v>28</v>
      </c>
      <c r="C85" s="65535">
        <v>55</v>
      </c>
    </row>
    <row r="86" spans="2:3">
      <c r="B86" s="65535" t="s">
        <v>48</v>
      </c>
      <c r="C86" s="65535">
        <v>56</v>
      </c>
    </row>
    <row r="87" spans="2:3">
      <c r="B87" s="65535" t="s">
        <v>104</v>
      </c>
      <c r="C87" s="65535">
        <v>600</v>
      </c>
    </row>
    <row r="90" spans="2:3">
      <c r="B90" s="65535" t="s">
        <v>103</v>
      </c>
      <c r="C90" t="s">
        <v>105</v>
      </c>
    </row>
    <row r="91" spans="2:3">
      <c r="B91" s="65535" t="s">
        <v>24</v>
      </c>
      <c r="C91" s="65535">
        <v>100910280</v>
      </c>
    </row>
    <row r="92" spans="2:3">
      <c r="B92" s="65535" t="s">
        <v>15</v>
      </c>
      <c r="C92" s="65535">
        <v>89189657</v>
      </c>
    </row>
    <row r="93" spans="2:3">
      <c r="B93" s="65535" t="s">
        <v>30</v>
      </c>
      <c r="C93" s="65535">
        <v>97745668</v>
      </c>
    </row>
    <row r="94" spans="2:3">
      <c r="B94" s="65535" t="s">
        <v>20</v>
      </c>
      <c r="C94" s="65535">
        <v>106934095</v>
      </c>
    </row>
    <row r="95" spans="2:3">
      <c r="B95" s="65535" t="s">
        <v>104</v>
      </c>
      <c r="C95" s="65535">
        <v>394779700</v>
      </c>
    </row>
    <row r="97" spans="2:3">
      <c r="B97" s="65535" t="s">
        <v>103</v>
      </c>
      <c r="C97" t="s">
        <v>122</v>
      </c>
    </row>
    <row r="98" spans="2:3">
      <c r="B98" s="65535" t="s">
        <v>24</v>
      </c>
      <c r="C98" s="65535">
        <v>100910280</v>
      </c>
    </row>
    <row r="99" spans="2:3">
      <c r="B99" s="65535" t="s">
        <v>15</v>
      </c>
      <c r="C99" s="65535">
        <v>89189657</v>
      </c>
    </row>
    <row r="100" spans="2:3">
      <c r="B100" s="65535" t="s">
        <v>30</v>
      </c>
      <c r="C100" s="65535">
        <v>97745668</v>
      </c>
    </row>
    <row r="101" spans="2:3">
      <c r="B101" s="65535" t="s">
        <v>20</v>
      </c>
      <c r="C101" s="65535">
        <v>106934095</v>
      </c>
    </row>
    <row r="102" spans="2:3">
      <c r="B102" s="65535" t="s">
        <v>104</v>
      </c>
      <c r="C102" s="65535">
        <v>394779700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28E4-2715-4853-BC62-EADE57748D57}">
  <dimension ref="A6:L111"/>
  <sheetViews>
    <sheetView topLeftCell="A6" workbookViewId="0">
      <selection activeCell="K9" sqref="K9"/>
    </sheetView>
  </sheetViews>
  <sheetFormatPr defaultRowHeight="14.4"/>
  <cols>
    <col min="1" max="1" width="14.5546875" bestFit="1" customWidth="1"/>
    <col min="2" max="2" width="17" bestFit="1" customWidth="1"/>
    <col min="3" max="3" width="11.5546875" bestFit="1" customWidth="1"/>
    <col min="4" max="4" width="10" bestFit="1" customWidth="1"/>
    <col min="5" max="6" width="10.77734375" bestFit="1" customWidth="1"/>
    <col min="7" max="7" width="10.6640625" bestFit="1" customWidth="1"/>
    <col min="8" max="8" width="20.6640625" bestFit="1" customWidth="1"/>
    <col min="9" max="9" width="20.21875" bestFit="1" customWidth="1"/>
  </cols>
  <sheetData>
    <row r="6" spans="5:9">
      <c r="E6" t="s">
        <v>129</v>
      </c>
      <c r="F6" t="s">
        <v>130</v>
      </c>
      <c r="G6" t="s">
        <v>131</v>
      </c>
      <c r="H6" t="s">
        <v>132</v>
      </c>
      <c r="I6" t="s">
        <v>133</v>
      </c>
    </row>
    <row r="7" spans="5:9">
      <c r="E7">
        <f>COUNTA(_xlfn.UNIQUE(Sales_data[Region]))</f>
        <v>4</v>
      </c>
      <c r="F7" t="str">
        <f>INDEX(Sales_data[Region],1)</f>
        <v>West</v>
      </c>
      <c r="G7">
        <f>COUNTA(_xlfn.UNIQUE(Sales_data[State]))</f>
        <v>16</v>
      </c>
      <c r="H7" s="65535">
        <f>AVERAGE(Sales_data[Total_Sales])</f>
        <v>657966.16666666663</v>
      </c>
      <c r="I7" s="65535">
        <f>AVERAGE(Sales_data[Profit])</f>
        <v>333042.17333333334</v>
      </c>
    </row>
    <row r="9" spans="5:9">
      <c r="E9">
        <f>COUNTA(_xlfn.UNIQUE(Sales_data[Region]))</f>
        <v>4</v>
      </c>
      <c r="F9" t="str">
        <f>INDEX(Sales_data[Region],1)</f>
        <v>West</v>
      </c>
      <c r="G9">
        <f>COUNTA(_xlfn.UNIQUE(Sales_data[State]))</f>
        <v>16</v>
      </c>
      <c r="H9" s="65535">
        <f>AVERAGE(Sales_data[Total_Sales])</f>
        <v>657966.16666666663</v>
      </c>
      <c r="I9" s="65535">
        <f>AVERAGE(Sales_data[Profit])</f>
        <v>333042.17333333334</v>
      </c>
    </row>
    <row r="18" spans="1:2">
      <c r="A18" s="65535" t="s">
        <v>103</v>
      </c>
      <c r="B18" t="s">
        <v>105</v>
      </c>
    </row>
    <row r="19" spans="1:2">
      <c r="A19" s="65535" t="s">
        <v>26</v>
      </c>
      <c r="B19" s="65535">
        <v>86727449</v>
      </c>
    </row>
    <row r="20" spans="1:2">
      <c r="A20" s="65535" t="s">
        <v>33</v>
      </c>
      <c r="B20" s="65535">
        <v>93819346</v>
      </c>
    </row>
    <row r="21" spans="1:2">
      <c r="A21" s="65535" t="s">
        <v>13</v>
      </c>
      <c r="B21" s="65535">
        <v>98493209</v>
      </c>
    </row>
    <row r="22" spans="1:2">
      <c r="A22" s="65535" t="s">
        <v>18</v>
      </c>
      <c r="B22" s="65535">
        <v>115739696</v>
      </c>
    </row>
    <row r="23" spans="1:2">
      <c r="A23" s="65535" t="s">
        <v>104</v>
      </c>
      <c r="B23" s="65535">
        <v>394779700</v>
      </c>
    </row>
    <row r="28" spans="1:2">
      <c r="A28" s="65535" t="s">
        <v>103</v>
      </c>
      <c r="B28" t="s">
        <v>118</v>
      </c>
    </row>
    <row r="29" spans="1:2">
      <c r="A29" s="65535" t="s">
        <v>18</v>
      </c>
      <c r="B29" s="65535">
        <v>59612123</v>
      </c>
    </row>
    <row r="30" spans="1:2">
      <c r="A30" s="65535" t="s">
        <v>13</v>
      </c>
      <c r="B30" s="65535">
        <v>51243436</v>
      </c>
    </row>
    <row r="31" spans="1:2">
      <c r="A31" s="65535" t="s">
        <v>33</v>
      </c>
      <c r="B31" s="65535">
        <v>44900695</v>
      </c>
    </row>
    <row r="32" spans="1:2">
      <c r="A32" s="65535" t="s">
        <v>26</v>
      </c>
      <c r="B32" s="65535">
        <v>44069050</v>
      </c>
    </row>
    <row r="33" spans="1:12">
      <c r="A33" s="65535" t="s">
        <v>104</v>
      </c>
      <c r="B33" s="65535">
        <v>199825304</v>
      </c>
    </row>
    <row r="41" spans="1:12">
      <c r="A41" s="65535" t="s">
        <v>105</v>
      </c>
      <c r="B41" s="65535" t="s">
        <v>128</v>
      </c>
    </row>
    <row r="42" spans="1:12">
      <c r="A42" s="65535" t="s">
        <v>103</v>
      </c>
      <c r="B42" t="s">
        <v>26</v>
      </c>
      <c r="C42" t="s">
        <v>33</v>
      </c>
      <c r="D42" t="s">
        <v>18</v>
      </c>
      <c r="E42" t="s">
        <v>13</v>
      </c>
      <c r="F42" t="s">
        <v>104</v>
      </c>
    </row>
    <row r="43" spans="1:12">
      <c r="A43" s="65535" t="s">
        <v>106</v>
      </c>
      <c r="B43" s="65535">
        <v>11161235</v>
      </c>
      <c r="C43" s="65535">
        <v>3532014</v>
      </c>
      <c r="D43" s="65535">
        <v>11824445</v>
      </c>
      <c r="E43" s="65535">
        <v>8534576</v>
      </c>
      <c r="F43" s="65535">
        <v>35052270</v>
      </c>
      <c r="H43" s="65535"/>
      <c r="I43" s="65535"/>
      <c r="J43" s="65535"/>
      <c r="K43" s="65535"/>
      <c r="L43" s="65535"/>
    </row>
    <row r="44" spans="1:12">
      <c r="A44" s="65535" t="s">
        <v>107</v>
      </c>
      <c r="B44" s="65535">
        <v>8046010</v>
      </c>
      <c r="C44" s="65535">
        <v>6472526</v>
      </c>
      <c r="D44" s="65535">
        <v>6092187</v>
      </c>
      <c r="E44" s="65535">
        <v>4537138</v>
      </c>
      <c r="F44" s="65535">
        <v>25147861</v>
      </c>
      <c r="H44" s="65535"/>
      <c r="I44" s="65535"/>
      <c r="J44" s="65535"/>
      <c r="K44" s="65535"/>
      <c r="L44" s="65535"/>
    </row>
    <row r="45" spans="1:12">
      <c r="A45" s="65535" t="s">
        <v>108</v>
      </c>
      <c r="B45" s="65535">
        <v>2870262</v>
      </c>
      <c r="C45" s="65535">
        <v>9974319</v>
      </c>
      <c r="D45" s="65535">
        <v>4645920</v>
      </c>
      <c r="E45" s="65535">
        <v>9272666</v>
      </c>
      <c r="F45" s="65535">
        <v>26763167</v>
      </c>
      <c r="H45" s="65535"/>
      <c r="I45" s="65535"/>
      <c r="J45" s="65535"/>
      <c r="K45" s="65535"/>
      <c r="L45" s="65535"/>
    </row>
    <row r="46" spans="1:12">
      <c r="A46" s="65535" t="s">
        <v>109</v>
      </c>
      <c r="B46" s="65535">
        <v>2535032</v>
      </c>
      <c r="C46" s="65535">
        <v>8421586</v>
      </c>
      <c r="D46" s="65535">
        <v>10807651</v>
      </c>
      <c r="E46" s="65535">
        <v>8736978</v>
      </c>
      <c r="F46" s="65535">
        <v>30501247</v>
      </c>
      <c r="H46" s="65535"/>
      <c r="I46" s="65535"/>
      <c r="J46" s="65535"/>
      <c r="K46" s="65535"/>
      <c r="L46" s="65535"/>
    </row>
    <row r="47" spans="1:12">
      <c r="A47" s="65535" t="s">
        <v>110</v>
      </c>
      <c r="B47" s="65535">
        <v>8195032</v>
      </c>
      <c r="C47" s="65535">
        <v>9009278</v>
      </c>
      <c r="D47" s="65535">
        <v>5190923</v>
      </c>
      <c r="E47" s="65535">
        <v>8307294</v>
      </c>
      <c r="F47" s="65535">
        <v>30702527</v>
      </c>
      <c r="H47" s="65535"/>
      <c r="I47" s="65535"/>
      <c r="J47" s="65535"/>
      <c r="K47" s="65535"/>
      <c r="L47" s="65535"/>
    </row>
    <row r="48" spans="1:12">
      <c r="A48" s="65535" t="s">
        <v>111</v>
      </c>
      <c r="B48" s="65535">
        <v>5580842</v>
      </c>
      <c r="C48" s="65535">
        <v>4106826</v>
      </c>
      <c r="D48" s="65535">
        <v>22859584</v>
      </c>
      <c r="E48" s="65535">
        <v>9832742</v>
      </c>
      <c r="F48" s="65535">
        <v>42379994</v>
      </c>
      <c r="H48" s="65535"/>
      <c r="I48" s="65535"/>
      <c r="J48" s="65535"/>
      <c r="K48" s="65535"/>
      <c r="L48" s="65535"/>
    </row>
    <row r="49" spans="1:12">
      <c r="A49" s="65535" t="s">
        <v>112</v>
      </c>
      <c r="B49" s="65535">
        <v>5849067</v>
      </c>
      <c r="C49" s="65535">
        <v>9188383</v>
      </c>
      <c r="D49" s="65535">
        <v>5412290</v>
      </c>
      <c r="E49" s="65535">
        <v>7833515</v>
      </c>
      <c r="F49" s="65535">
        <v>28283255</v>
      </c>
      <c r="H49" s="65535"/>
      <c r="I49" s="65535"/>
      <c r="J49" s="65535"/>
      <c r="K49" s="65535"/>
      <c r="L49" s="65535"/>
    </row>
    <row r="50" spans="1:12">
      <c r="A50" s="65535" t="s">
        <v>113</v>
      </c>
      <c r="B50" s="65535">
        <v>6460068</v>
      </c>
      <c r="C50" s="65535">
        <v>4403204</v>
      </c>
      <c r="D50" s="65535">
        <v>6646047</v>
      </c>
      <c r="E50" s="65535">
        <v>7740839</v>
      </c>
      <c r="F50" s="65535">
        <v>25250158</v>
      </c>
      <c r="H50" s="65535"/>
      <c r="I50" s="65535"/>
      <c r="J50" s="65535"/>
      <c r="K50" s="65535"/>
      <c r="L50" s="65535"/>
    </row>
    <row r="51" spans="1:12">
      <c r="A51" s="65535" t="s">
        <v>114</v>
      </c>
      <c r="B51" s="65535">
        <v>6463812</v>
      </c>
      <c r="C51" s="65535">
        <v>7707114</v>
      </c>
      <c r="D51" s="65535">
        <v>8854047</v>
      </c>
      <c r="E51" s="65535">
        <v>9870153</v>
      </c>
      <c r="F51" s="65535">
        <v>32895126</v>
      </c>
      <c r="H51" s="65535"/>
      <c r="I51" s="65535"/>
      <c r="J51" s="65535"/>
      <c r="K51" s="65535"/>
      <c r="L51" s="65535"/>
    </row>
    <row r="52" spans="1:12">
      <c r="A52" s="65535" t="s">
        <v>115</v>
      </c>
      <c r="B52" s="65535">
        <v>10686591</v>
      </c>
      <c r="C52" s="65535">
        <v>11330083</v>
      </c>
      <c r="D52" s="65535">
        <v>7666502</v>
      </c>
      <c r="E52" s="65535">
        <v>8234766</v>
      </c>
      <c r="F52" s="65535">
        <v>37917942</v>
      </c>
      <c r="H52" s="65535"/>
      <c r="I52" s="65535"/>
      <c r="J52" s="65535"/>
      <c r="K52" s="65535"/>
      <c r="L52" s="65535"/>
    </row>
    <row r="53" spans="1:12">
      <c r="A53" s="65535" t="s">
        <v>116</v>
      </c>
      <c r="B53" s="65535">
        <v>10383398</v>
      </c>
      <c r="C53" s="65535">
        <v>9444214</v>
      </c>
      <c r="D53" s="65535">
        <v>8562602</v>
      </c>
      <c r="E53" s="65535">
        <v>8778043</v>
      </c>
      <c r="F53" s="65535">
        <v>37168257</v>
      </c>
      <c r="H53" s="65535"/>
      <c r="I53" s="65535"/>
      <c r="J53" s="65535"/>
      <c r="K53" s="65535"/>
      <c r="L53" s="65535"/>
    </row>
    <row r="54" spans="1:12">
      <c r="A54" s="65535" t="s">
        <v>117</v>
      </c>
      <c r="B54" s="65535">
        <v>8496100</v>
      </c>
      <c r="C54" s="65535">
        <v>10229799</v>
      </c>
      <c r="D54" s="65535">
        <v>17177498</v>
      </c>
      <c r="E54" s="65535">
        <v>6814499</v>
      </c>
      <c r="F54" s="65535">
        <v>42717896</v>
      </c>
      <c r="H54" s="65535"/>
      <c r="I54" s="65535"/>
      <c r="J54" s="65535"/>
      <c r="K54" s="65535"/>
      <c r="L54" s="65535"/>
    </row>
    <row r="55" spans="1:12">
      <c r="A55" s="65535" t="s">
        <v>104</v>
      </c>
      <c r="B55" s="65535">
        <v>86727449</v>
      </c>
      <c r="C55" s="65535">
        <v>93819346</v>
      </c>
      <c r="D55" s="65535">
        <v>115739696</v>
      </c>
      <c r="E55" s="65535">
        <v>98493209</v>
      </c>
      <c r="F55" s="65535">
        <v>394779700</v>
      </c>
    </row>
    <row r="59" spans="1:12">
      <c r="A59" s="65535" t="s">
        <v>103</v>
      </c>
      <c r="B59" t="s">
        <v>105</v>
      </c>
    </row>
    <row r="60" spans="1:12">
      <c r="A60" s="65535" t="s">
        <v>27</v>
      </c>
      <c r="B60" s="65535">
        <v>21912982</v>
      </c>
    </row>
    <row r="61" spans="1:12">
      <c r="A61" s="65535" t="s">
        <v>39</v>
      </c>
      <c r="B61" s="65535">
        <v>23457885</v>
      </c>
    </row>
    <row r="62" spans="1:12">
      <c r="A62" s="65535" t="s">
        <v>42</v>
      </c>
      <c r="B62" s="65535">
        <v>27768865</v>
      </c>
    </row>
    <row r="63" spans="1:12">
      <c r="A63" s="65535" t="s">
        <v>14</v>
      </c>
      <c r="B63" s="65535">
        <v>25245887</v>
      </c>
    </row>
    <row r="64" spans="1:12">
      <c r="A64" s="65535" t="s">
        <v>41</v>
      </c>
      <c r="B64" s="65535">
        <v>26570548</v>
      </c>
    </row>
    <row r="65" spans="1:2">
      <c r="A65" s="65535" t="s">
        <v>45</v>
      </c>
      <c r="B65" s="65535">
        <v>23237365</v>
      </c>
    </row>
    <row r="66" spans="1:2">
      <c r="A66" s="65535" t="s">
        <v>38</v>
      </c>
      <c r="B66" s="65535">
        <v>25924077</v>
      </c>
    </row>
    <row r="67" spans="1:2">
      <c r="A67" s="65535" t="s">
        <v>23</v>
      </c>
      <c r="B67" s="65535">
        <v>25065619</v>
      </c>
    </row>
    <row r="68" spans="1:2">
      <c r="A68" s="65535" t="s">
        <v>50</v>
      </c>
      <c r="B68" s="65535">
        <v>31692839</v>
      </c>
    </row>
    <row r="69" spans="1:2">
      <c r="A69" s="65535" t="s">
        <v>36</v>
      </c>
      <c r="B69" s="65535">
        <v>23674367</v>
      </c>
    </row>
    <row r="70" spans="1:2">
      <c r="A70" s="65535" t="s">
        <v>46</v>
      </c>
      <c r="B70" s="65535">
        <v>15769520</v>
      </c>
    </row>
    <row r="71" spans="1:2">
      <c r="A71" s="65535" t="s">
        <v>43</v>
      </c>
      <c r="B71" s="65535">
        <v>20412838</v>
      </c>
    </row>
    <row r="72" spans="1:2">
      <c r="A72" s="65535" t="s">
        <v>47</v>
      </c>
      <c r="B72" s="65535">
        <v>24525028</v>
      </c>
    </row>
    <row r="73" spans="1:2">
      <c r="A73" s="65535" t="s">
        <v>19</v>
      </c>
      <c r="B73" s="65535">
        <v>33597752</v>
      </c>
    </row>
    <row r="74" spans="1:2">
      <c r="A74" s="65535" t="s">
        <v>34</v>
      </c>
      <c r="B74" s="65535">
        <v>28021393</v>
      </c>
    </row>
    <row r="75" spans="1:2">
      <c r="A75" s="65535" t="s">
        <v>51</v>
      </c>
      <c r="B75" s="65535">
        <v>17902735</v>
      </c>
    </row>
    <row r="76" spans="1:2">
      <c r="A76" s="65535" t="s">
        <v>104</v>
      </c>
      <c r="B76" s="65535">
        <v>394779700</v>
      </c>
    </row>
    <row r="80" spans="1:2">
      <c r="A80" s="65535" t="s">
        <v>105</v>
      </c>
      <c r="B80" s="65535" t="s">
        <v>128</v>
      </c>
    </row>
    <row r="81" spans="1:5">
      <c r="A81" s="65535" t="s">
        <v>103</v>
      </c>
      <c r="B81" t="s">
        <v>17</v>
      </c>
      <c r="C81" t="s">
        <v>32</v>
      </c>
      <c r="D81" t="s">
        <v>22</v>
      </c>
      <c r="E81" t="s">
        <v>104</v>
      </c>
    </row>
    <row r="82" spans="1:5">
      <c r="A82" s="65535" t="s">
        <v>26</v>
      </c>
      <c r="B82" s="65535">
        <v>29491105</v>
      </c>
      <c r="C82" s="65535">
        <v>25686401</v>
      </c>
      <c r="D82" s="65535">
        <v>31549943</v>
      </c>
      <c r="E82" s="65535">
        <v>86727449</v>
      </c>
    </row>
    <row r="83" spans="1:5">
      <c r="A83" s="65535" t="s">
        <v>33</v>
      </c>
      <c r="B83" s="65535">
        <v>28942068</v>
      </c>
      <c r="C83" s="65535">
        <v>32761012</v>
      </c>
      <c r="D83" s="65535">
        <v>32116266</v>
      </c>
      <c r="E83" s="65535">
        <v>93819346</v>
      </c>
    </row>
    <row r="84" spans="1:5">
      <c r="A84" s="65535" t="s">
        <v>18</v>
      </c>
      <c r="B84" s="65535">
        <v>35617048</v>
      </c>
      <c r="C84" s="65535">
        <v>46340099</v>
      </c>
      <c r="D84" s="65535">
        <v>33782549</v>
      </c>
      <c r="E84" s="65535">
        <v>115739696</v>
      </c>
    </row>
    <row r="85" spans="1:5">
      <c r="A85" s="65535" t="s">
        <v>13</v>
      </c>
      <c r="B85" s="65535">
        <v>42543286</v>
      </c>
      <c r="C85" s="65535">
        <v>29317243</v>
      </c>
      <c r="D85" s="65535">
        <v>26632680</v>
      </c>
      <c r="E85" s="65535">
        <v>98493209</v>
      </c>
    </row>
    <row r="86" spans="1:5">
      <c r="A86" s="65535" t="s">
        <v>104</v>
      </c>
      <c r="B86" s="65535">
        <v>136593507</v>
      </c>
      <c r="C86" s="65535">
        <v>134104755</v>
      </c>
      <c r="D86" s="65535">
        <v>124081438</v>
      </c>
      <c r="E86" s="65535">
        <v>394779700</v>
      </c>
    </row>
    <row r="94" spans="1:5">
      <c r="A94" s="65535" t="s">
        <v>103</v>
      </c>
      <c r="B94" t="s">
        <v>105</v>
      </c>
    </row>
    <row r="95" spans="1:5">
      <c r="A95" s="65535" t="s">
        <v>19</v>
      </c>
      <c r="B95" s="65535">
        <v>33597752</v>
      </c>
    </row>
    <row r="96" spans="1:5">
      <c r="A96" s="65535" t="s">
        <v>50</v>
      </c>
      <c r="B96" s="65535">
        <v>31692839</v>
      </c>
    </row>
    <row r="97" spans="1:2">
      <c r="A97" s="65535" t="s">
        <v>34</v>
      </c>
      <c r="B97" s="65535">
        <v>28021393</v>
      </c>
    </row>
    <row r="98" spans="1:2">
      <c r="A98" s="65535" t="s">
        <v>42</v>
      </c>
      <c r="B98" s="65535">
        <v>27768865</v>
      </c>
    </row>
    <row r="99" spans="1:2">
      <c r="A99" s="65535" t="s">
        <v>41</v>
      </c>
      <c r="B99" s="65535">
        <v>26570548</v>
      </c>
    </row>
    <row r="100" spans="1:2">
      <c r="A100" s="65535" t="s">
        <v>38</v>
      </c>
      <c r="B100" s="65535">
        <v>25924077</v>
      </c>
    </row>
    <row r="101" spans="1:2">
      <c r="A101" s="65535" t="s">
        <v>14</v>
      </c>
      <c r="B101" s="65535">
        <v>25245887</v>
      </c>
    </row>
    <row r="102" spans="1:2">
      <c r="A102" s="65535" t="s">
        <v>23</v>
      </c>
      <c r="B102" s="65535">
        <v>25065619</v>
      </c>
    </row>
    <row r="103" spans="1:2">
      <c r="A103" s="65535" t="s">
        <v>47</v>
      </c>
      <c r="B103" s="65535">
        <v>24525028</v>
      </c>
    </row>
    <row r="104" spans="1:2">
      <c r="A104" s="65535" t="s">
        <v>36</v>
      </c>
      <c r="B104" s="65535">
        <v>23674367</v>
      </c>
    </row>
    <row r="105" spans="1:2">
      <c r="A105" s="65535" t="s">
        <v>39</v>
      </c>
      <c r="B105" s="65535">
        <v>23457885</v>
      </c>
    </row>
    <row r="106" spans="1:2">
      <c r="A106" s="65535" t="s">
        <v>45</v>
      </c>
      <c r="B106" s="65535">
        <v>23237365</v>
      </c>
    </row>
    <row r="107" spans="1:2">
      <c r="A107" s="65535" t="s">
        <v>27</v>
      </c>
      <c r="B107" s="65535">
        <v>21912982</v>
      </c>
    </row>
    <row r="108" spans="1:2">
      <c r="A108" s="65535" t="s">
        <v>43</v>
      </c>
      <c r="B108" s="65535">
        <v>20412838</v>
      </c>
    </row>
    <row r="109" spans="1:2">
      <c r="A109" s="65535" t="s">
        <v>51</v>
      </c>
      <c r="B109" s="65535">
        <v>17902735</v>
      </c>
    </row>
    <row r="110" spans="1:2">
      <c r="A110" s="65535" t="s">
        <v>46</v>
      </c>
      <c r="B110" s="65535">
        <v>15769520</v>
      </c>
    </row>
    <row r="111" spans="1:2">
      <c r="A111" s="65535" t="s">
        <v>104</v>
      </c>
      <c r="B111" s="65535">
        <v>394779700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6B8B-AC69-4EFD-BB27-6E17D2DFF678}">
  <dimension ref="B1:AK40"/>
  <sheetViews>
    <sheetView showGridLines="0" zoomScale="61" workbookViewId="0">
      <selection activeCell="J8" sqref="J8"/>
    </sheetView>
  </sheetViews>
  <sheetFormatPr defaultRowHeight="14.4"/>
  <sheetData>
    <row r="1" spans="2:37" ht="15" thickBot="1"/>
    <row r="2" spans="2:37">
      <c r="B2" s="65535"/>
      <c r="C2" s="65535"/>
      <c r="D2" s="65535"/>
      <c r="E2" s="65535"/>
      <c r="F2" s="65535"/>
      <c r="G2" s="65535"/>
      <c r="H2" s="65535"/>
      <c r="I2" s="65535"/>
      <c r="J2" s="65535"/>
      <c r="K2" s="65535"/>
      <c r="L2" s="65535"/>
      <c r="M2" s="65535"/>
      <c r="N2" s="65535"/>
      <c r="O2" s="65535"/>
      <c r="P2" s="65535"/>
      <c r="Q2" s="65535"/>
      <c r="R2" s="65535"/>
      <c r="S2" s="65535"/>
      <c r="T2" s="65535"/>
      <c r="U2" s="65535"/>
      <c r="V2" s="65535"/>
      <c r="W2" s="65535"/>
      <c r="X2" s="65535"/>
      <c r="Y2" s="65535"/>
      <c r="Z2" s="65535"/>
      <c r="AA2" s="65535"/>
      <c r="AB2" s="65535"/>
      <c r="AC2" s="65535"/>
      <c r="AD2" s="65535"/>
      <c r="AE2" s="65535"/>
      <c r="AF2" s="65535"/>
      <c r="AG2" s="65535"/>
      <c r="AH2" s="65535"/>
      <c r="AI2" s="65535"/>
      <c r="AJ2" s="65535"/>
      <c r="AK2" s="65535"/>
    </row>
    <row r="3" spans="2:37">
      <c r="B3" s="65535"/>
      <c r="C3" s="65535"/>
      <c r="D3" s="65535"/>
      <c r="E3" s="65535"/>
      <c r="F3" s="65535"/>
      <c r="G3" s="65535"/>
      <c r="H3" s="65535"/>
      <c r="I3" s="65535"/>
      <c r="J3" s="65535"/>
      <c r="K3" s="65535"/>
      <c r="L3" s="65535"/>
      <c r="M3" s="65535"/>
      <c r="N3" s="65535"/>
      <c r="O3" s="65535"/>
      <c r="P3" s="65535"/>
      <c r="Q3" s="65535"/>
      <c r="R3" s="65535"/>
      <c r="S3" s="65535"/>
      <c r="T3" s="65535"/>
      <c r="U3" s="65535"/>
      <c r="V3" s="65535"/>
      <c r="W3" s="65535"/>
      <c r="X3" s="65535"/>
      <c r="Y3" s="65535"/>
      <c r="Z3" s="65535"/>
      <c r="AA3" s="65535"/>
      <c r="AB3" s="65535"/>
      <c r="AC3" s="65535"/>
      <c r="AD3" s="65535"/>
      <c r="AE3" s="65535"/>
      <c r="AF3" s="65535"/>
      <c r="AG3" s="65535"/>
      <c r="AH3" s="65535"/>
      <c r="AI3" s="65535"/>
      <c r="AJ3" s="65535"/>
      <c r="AK3" s="65535"/>
    </row>
    <row r="4" spans="2:37">
      <c r="B4" s="65535"/>
      <c r="C4" s="65535"/>
      <c r="D4" s="65535"/>
      <c r="E4" s="65535"/>
      <c r="F4" s="65535"/>
      <c r="G4" s="65535"/>
      <c r="H4" s="65535"/>
      <c r="I4" s="65535"/>
      <c r="J4" s="65535"/>
      <c r="K4" s="65535"/>
      <c r="L4" s="65535"/>
      <c r="M4" s="65535"/>
      <c r="N4" s="65535"/>
      <c r="O4" s="65535"/>
      <c r="P4" s="65535"/>
      <c r="Q4" s="65535"/>
      <c r="R4" s="65535"/>
      <c r="S4" s="65535"/>
      <c r="T4" s="65535"/>
      <c r="U4" s="65535"/>
      <c r="V4" s="65535"/>
      <c r="W4" s="65535"/>
      <c r="X4" s="65535"/>
      <c r="Y4" s="65535"/>
      <c r="Z4" s="65535"/>
      <c r="AA4" s="65535"/>
      <c r="AB4" s="65535"/>
      <c r="AC4" s="65535"/>
      <c r="AD4" s="65535"/>
      <c r="AE4" s="65535"/>
      <c r="AF4" s="65535"/>
      <c r="AG4" s="65535"/>
      <c r="AH4" s="65535"/>
      <c r="AI4" s="65535"/>
      <c r="AJ4" s="65535"/>
      <c r="AK4" s="65535"/>
    </row>
    <row r="5" spans="2:37">
      <c r="B5" s="65535"/>
      <c r="C5" s="65535"/>
      <c r="D5" s="65535"/>
      <c r="E5" s="65535"/>
      <c r="F5" s="65535"/>
      <c r="G5" s="65535"/>
      <c r="H5" s="65535"/>
      <c r="I5" s="65535"/>
      <c r="J5" s="65535"/>
      <c r="K5" s="65535"/>
      <c r="L5" s="65535"/>
      <c r="M5" s="65535"/>
      <c r="N5" s="65535"/>
      <c r="O5" s="65535"/>
      <c r="P5" s="65535"/>
      <c r="Q5" s="65535"/>
      <c r="R5" s="65535"/>
      <c r="S5" s="65535"/>
      <c r="T5" s="65535"/>
      <c r="U5" s="65535"/>
      <c r="V5" s="65535"/>
      <c r="W5" s="65535"/>
      <c r="X5" s="65535"/>
      <c r="Y5" s="65535"/>
      <c r="Z5" s="65535"/>
      <c r="AA5" s="65535"/>
      <c r="AB5" s="65535"/>
      <c r="AC5" s="65535"/>
      <c r="AD5" s="65535"/>
      <c r="AE5" s="65535"/>
      <c r="AF5" s="65535"/>
      <c r="AG5" s="65535"/>
      <c r="AH5" s="65535"/>
      <c r="AI5" s="65535"/>
      <c r="AJ5" s="65535"/>
      <c r="AK5" s="65535"/>
    </row>
    <row r="6" spans="2:37">
      <c r="B6" s="65535"/>
      <c r="C6" s="65535"/>
      <c r="D6" s="65535"/>
      <c r="E6" s="65535"/>
      <c r="F6" s="65535"/>
      <c r="G6" s="65535"/>
      <c r="H6" s="65535"/>
      <c r="I6" s="65535"/>
      <c r="J6" s="65535"/>
      <c r="K6" s="65535"/>
      <c r="L6" s="65535"/>
      <c r="M6" s="65535"/>
      <c r="N6" s="65535"/>
      <c r="O6" s="65535"/>
      <c r="P6" s="65535"/>
      <c r="Q6" s="65535"/>
      <c r="R6" s="65535"/>
      <c r="S6" s="65535"/>
      <c r="T6" s="65535"/>
      <c r="U6" s="65535"/>
      <c r="V6" s="65535"/>
      <c r="W6" s="65535"/>
      <c r="X6" s="65535"/>
      <c r="Y6" s="65535"/>
      <c r="Z6" s="65535"/>
      <c r="AA6" s="65535"/>
      <c r="AB6" s="65535"/>
      <c r="AC6" s="65535"/>
      <c r="AD6" s="65535"/>
      <c r="AE6" s="65535"/>
      <c r="AF6" s="65535"/>
      <c r="AG6" s="65535"/>
      <c r="AH6" s="65535"/>
      <c r="AI6" s="65535"/>
      <c r="AJ6" s="65535"/>
      <c r="AK6" s="65535"/>
    </row>
    <row r="7" spans="2:37">
      <c r="B7" s="65535"/>
      <c r="C7" s="65535"/>
      <c r="D7" s="65535"/>
      <c r="E7" s="65535"/>
      <c r="F7" s="65535"/>
      <c r="G7" s="65535"/>
      <c r="H7" s="65535"/>
      <c r="I7" s="65535"/>
      <c r="J7" s="65535"/>
      <c r="K7" s="65535"/>
      <c r="L7" s="65535"/>
      <c r="M7" s="65535"/>
      <c r="N7" s="65535"/>
      <c r="O7" s="65535"/>
      <c r="P7" s="65535"/>
      <c r="Q7" s="65535"/>
      <c r="R7" s="65535"/>
      <c r="S7" s="65535"/>
      <c r="T7" s="65535"/>
      <c r="U7" s="65535"/>
      <c r="V7" s="65535"/>
      <c r="W7" s="65535"/>
      <c r="X7" s="65535"/>
      <c r="Y7" s="65535"/>
      <c r="Z7" s="65535"/>
      <c r="AA7" s="65535"/>
      <c r="AB7" s="65535"/>
      <c r="AC7" s="65535"/>
      <c r="AD7" s="65535"/>
      <c r="AE7" s="65535"/>
      <c r="AF7" s="65535"/>
      <c r="AG7" s="65535"/>
      <c r="AH7" s="65535"/>
      <c r="AI7" s="65535"/>
      <c r="AJ7" s="65535"/>
      <c r="AK7" s="65535"/>
    </row>
    <row r="8" spans="2:37">
      <c r="B8" s="65535"/>
      <c r="C8" s="65535"/>
      <c r="D8" s="65535"/>
      <c r="E8" s="65535"/>
      <c r="F8" s="65535"/>
      <c r="G8" s="65535"/>
      <c r="H8" s="65535"/>
      <c r="I8" s="65535"/>
      <c r="J8" s="65535"/>
      <c r="K8" s="65535"/>
      <c r="L8" s="65535"/>
      <c r="M8" s="65535"/>
      <c r="N8" s="65535"/>
      <c r="O8" s="65535"/>
      <c r="P8" s="65535"/>
      <c r="Q8" s="65535"/>
      <c r="R8" s="65535"/>
      <c r="S8" s="65535"/>
      <c r="T8" s="65535"/>
      <c r="U8" s="65535"/>
      <c r="V8" s="65535"/>
      <c r="W8" s="65535"/>
      <c r="X8" s="65535"/>
      <c r="Y8" s="65535"/>
      <c r="Z8" s="65535"/>
      <c r="AA8" s="65535"/>
      <c r="AB8" s="65535"/>
      <c r="AC8" s="65535"/>
      <c r="AD8" s="65535"/>
      <c r="AE8" s="65535"/>
      <c r="AF8" s="65535"/>
      <c r="AG8" s="65535"/>
      <c r="AH8" s="65535"/>
      <c r="AI8" s="65535"/>
      <c r="AJ8" s="65535"/>
      <c r="AK8" s="65535"/>
    </row>
    <row r="9" spans="2:37">
      <c r="B9" s="65535"/>
      <c r="C9" s="65535"/>
      <c r="D9" s="65535"/>
      <c r="E9" s="65535"/>
      <c r="F9" s="65535"/>
      <c r="G9" s="65535"/>
      <c r="H9" s="65535"/>
      <c r="I9" s="65535"/>
      <c r="J9" s="65535"/>
      <c r="K9" s="65535"/>
      <c r="L9" s="65535"/>
      <c r="M9" s="65535"/>
      <c r="N9" s="65535"/>
      <c r="O9" s="65535"/>
      <c r="P9" s="65535"/>
      <c r="Q9" s="65535"/>
      <c r="R9" s="65535"/>
      <c r="S9" s="65535"/>
      <c r="T9" s="65535"/>
      <c r="U9" s="65535"/>
      <c r="V9" s="65535"/>
      <c r="W9" s="65535"/>
      <c r="X9" s="65535"/>
      <c r="Y9" s="65535"/>
      <c r="Z9" s="65535"/>
      <c r="AA9" s="65535"/>
      <c r="AB9" s="65535"/>
      <c r="AC9" s="65535"/>
      <c r="AD9" s="65535"/>
      <c r="AE9" s="65535"/>
      <c r="AF9" s="65535"/>
      <c r="AG9" s="65535"/>
      <c r="AH9" s="65535"/>
      <c r="AI9" s="65535"/>
      <c r="AJ9" s="65535"/>
      <c r="AK9" s="65535"/>
    </row>
    <row r="10" spans="2:37">
      <c r="B10" s="65535"/>
      <c r="C10" s="65535"/>
      <c r="D10" s="65535"/>
      <c r="E10" s="65535"/>
      <c r="F10" s="65535"/>
      <c r="G10" s="65535"/>
      <c r="H10" s="65535"/>
      <c r="I10" s="65535"/>
      <c r="J10" s="65535"/>
      <c r="K10" s="65535"/>
      <c r="L10" s="65535"/>
      <c r="M10" s="65535"/>
      <c r="N10" s="65535"/>
      <c r="O10" s="65535"/>
      <c r="P10" s="65535"/>
      <c r="Q10" s="65535"/>
      <c r="R10" s="65535"/>
      <c r="S10" s="65535"/>
      <c r="T10" s="65535"/>
      <c r="U10" s="65535"/>
      <c r="V10" s="65535"/>
      <c r="W10" s="65535"/>
      <c r="X10" s="65535"/>
      <c r="Y10" s="65535"/>
      <c r="Z10" s="65535"/>
      <c r="AA10" s="65535"/>
      <c r="AB10" s="65535"/>
      <c r="AC10" s="65535"/>
      <c r="AD10" s="65535"/>
      <c r="AE10" s="65535"/>
      <c r="AF10" s="65535"/>
      <c r="AG10" s="65535"/>
      <c r="AH10" s="65535"/>
      <c r="AI10" s="65535"/>
      <c r="AJ10" s="65535"/>
      <c r="AK10" s="65535"/>
    </row>
    <row r="11" spans="2:37">
      <c r="B11" s="65535"/>
      <c r="C11" s="65535"/>
      <c r="D11" s="65535"/>
      <c r="E11" s="65535"/>
      <c r="F11" s="65535"/>
      <c r="G11" s="65535"/>
      <c r="H11" s="65535"/>
      <c r="I11" s="65535"/>
      <c r="J11" s="65535"/>
      <c r="K11" s="65535"/>
      <c r="L11" s="65535"/>
      <c r="M11" s="65535"/>
      <c r="N11" s="65535"/>
      <c r="O11" s="65535"/>
      <c r="P11" s="65535"/>
      <c r="Q11" s="65535"/>
      <c r="R11" s="65535"/>
      <c r="S11" s="65535"/>
      <c r="T11" s="65535"/>
      <c r="U11" s="65535"/>
      <c r="V11" s="65535"/>
      <c r="W11" s="65535"/>
      <c r="X11" s="65535"/>
      <c r="Y11" s="65535"/>
      <c r="Z11" s="65535"/>
      <c r="AA11" s="65535"/>
      <c r="AB11" s="65535"/>
      <c r="AC11" s="65535"/>
      <c r="AD11" s="65535"/>
      <c r="AE11" s="65535"/>
      <c r="AF11" s="65535"/>
      <c r="AG11" s="65535"/>
      <c r="AH11" s="65535"/>
      <c r="AI11" s="65535"/>
      <c r="AJ11" s="65535"/>
      <c r="AK11" s="65535"/>
    </row>
    <row r="12" spans="2:37">
      <c r="B12" s="65535"/>
      <c r="C12" s="65535"/>
      <c r="D12" s="65535"/>
      <c r="E12" s="65535"/>
      <c r="F12" s="65535"/>
      <c r="G12" s="65535"/>
      <c r="H12" s="65535"/>
      <c r="I12" s="65535"/>
      <c r="J12" s="65535"/>
      <c r="K12" s="65535"/>
      <c r="L12" s="65535"/>
      <c r="M12" s="65535"/>
      <c r="N12" s="65535"/>
      <c r="O12" s="65535"/>
      <c r="P12" s="65535"/>
      <c r="Q12" s="65535"/>
      <c r="R12" s="65535"/>
      <c r="S12" s="65535"/>
      <c r="T12" s="65535"/>
      <c r="U12" s="65535"/>
      <c r="V12" s="65535"/>
      <c r="W12" s="65535"/>
      <c r="X12" s="65535"/>
      <c r="Y12" s="65535"/>
      <c r="Z12" s="65535"/>
      <c r="AA12" s="65535"/>
      <c r="AB12" s="65535"/>
      <c r="AC12" s="65535"/>
      <c r="AD12" s="65535"/>
      <c r="AE12" s="65535"/>
      <c r="AF12" s="65535"/>
      <c r="AG12" s="65535"/>
      <c r="AH12" s="65535"/>
      <c r="AI12" s="65535"/>
      <c r="AJ12" s="65535"/>
      <c r="AK12" s="65535"/>
    </row>
    <row r="13" spans="2:37">
      <c r="B13" s="65535"/>
      <c r="C13" s="65535"/>
      <c r="D13" s="65535"/>
      <c r="E13" s="65535"/>
      <c r="F13" s="65535"/>
      <c r="G13" s="65535"/>
      <c r="H13" s="65535"/>
      <c r="I13" s="65535"/>
      <c r="J13" s="65535"/>
      <c r="K13" s="65535"/>
      <c r="L13" s="65535"/>
      <c r="M13" s="65535"/>
      <c r="N13" s="65535"/>
      <c r="O13" s="65535"/>
      <c r="P13" s="65535"/>
      <c r="Q13" s="65535"/>
      <c r="R13" s="65535"/>
      <c r="S13" s="65535"/>
      <c r="T13" s="65535"/>
      <c r="U13" s="65535"/>
      <c r="V13" s="65535"/>
      <c r="W13" s="65535"/>
      <c r="X13" s="65535"/>
      <c r="Y13" s="65535"/>
      <c r="Z13" s="65535"/>
      <c r="AA13" s="65535"/>
      <c r="AB13" s="65535"/>
      <c r="AC13" s="65535"/>
      <c r="AD13" s="65535"/>
      <c r="AE13" s="65535"/>
      <c r="AF13" s="65535"/>
      <c r="AG13" s="65535"/>
      <c r="AH13" s="65535"/>
      <c r="AI13" s="65535"/>
      <c r="AJ13" s="65535"/>
      <c r="AK13" s="65535"/>
    </row>
    <row r="14" spans="2:37">
      <c r="B14" s="65535"/>
      <c r="C14" s="65535"/>
      <c r="D14" s="65535"/>
      <c r="E14" s="65535"/>
      <c r="F14" s="65535"/>
      <c r="G14" s="65535"/>
      <c r="H14" s="65535"/>
      <c r="I14" s="65535"/>
      <c r="J14" s="65535"/>
      <c r="K14" s="65535"/>
      <c r="L14" s="65535"/>
      <c r="M14" s="65535"/>
      <c r="N14" s="65535"/>
      <c r="O14" s="65535"/>
      <c r="P14" s="65535"/>
      <c r="Q14" s="65535"/>
      <c r="R14" s="65535"/>
      <c r="S14" s="65535"/>
      <c r="T14" s="65535"/>
      <c r="U14" s="65535"/>
      <c r="V14" s="65535"/>
      <c r="W14" s="65535"/>
      <c r="X14" s="65535"/>
      <c r="Y14" s="65535"/>
      <c r="Z14" s="65535"/>
      <c r="AA14" s="65535"/>
      <c r="AB14" s="65535"/>
      <c r="AC14" s="65535"/>
      <c r="AD14" s="65535"/>
      <c r="AE14" s="65535"/>
      <c r="AF14" s="65535"/>
      <c r="AG14" s="65535"/>
      <c r="AH14" s="65535"/>
      <c r="AI14" s="65535"/>
      <c r="AJ14" s="65535"/>
      <c r="AK14" s="65535"/>
    </row>
    <row r="15" spans="2:37">
      <c r="B15" s="65535"/>
      <c r="C15" s="65535"/>
      <c r="D15" s="65535"/>
      <c r="E15" s="65535"/>
      <c r="F15" s="65535"/>
      <c r="G15" s="65535"/>
      <c r="H15" s="65535"/>
      <c r="I15" s="65535"/>
      <c r="J15" s="65535"/>
      <c r="K15" s="65535"/>
      <c r="L15" s="65535"/>
      <c r="M15" s="65535"/>
      <c r="N15" s="65535"/>
      <c r="O15" s="65535"/>
      <c r="P15" s="65535"/>
      <c r="Q15" s="65535"/>
      <c r="R15" s="65535"/>
      <c r="S15" s="65535"/>
      <c r="T15" s="65535"/>
      <c r="U15" s="65535"/>
      <c r="V15" s="65535"/>
      <c r="W15" s="65535"/>
      <c r="X15" s="65535"/>
      <c r="Y15" s="65535"/>
      <c r="Z15" s="65535"/>
      <c r="AA15" s="65535"/>
      <c r="AB15" s="65535"/>
      <c r="AC15" s="65535"/>
      <c r="AD15" s="65535"/>
      <c r="AE15" s="65535"/>
      <c r="AF15" s="65535"/>
      <c r="AG15" s="65535"/>
      <c r="AH15" s="65535"/>
      <c r="AI15" s="65535"/>
      <c r="AJ15" s="65535"/>
      <c r="AK15" s="65535"/>
    </row>
    <row r="16" spans="2:37">
      <c r="B16" s="65535"/>
      <c r="C16" s="65535"/>
      <c r="D16" s="65535"/>
      <c r="E16" s="65535"/>
      <c r="F16" s="65535"/>
      <c r="G16" s="65535"/>
      <c r="H16" s="65535"/>
      <c r="I16" s="65535"/>
      <c r="J16" s="65535"/>
      <c r="K16" s="65535"/>
      <c r="L16" s="65535"/>
      <c r="M16" s="65535"/>
      <c r="N16" s="65535"/>
      <c r="O16" s="65535"/>
      <c r="P16" s="65535"/>
      <c r="Q16" s="65535"/>
      <c r="R16" s="65535"/>
      <c r="S16" s="65535"/>
      <c r="T16" s="65535"/>
      <c r="U16" s="65535"/>
      <c r="V16" s="65535"/>
      <c r="W16" s="65535"/>
      <c r="X16" s="65535"/>
      <c r="Y16" s="65535"/>
      <c r="Z16" s="65535"/>
      <c r="AA16" s="65535"/>
      <c r="AB16" s="65535"/>
      <c r="AC16" s="65535"/>
      <c r="AD16" s="65535"/>
      <c r="AE16" s="65535"/>
      <c r="AF16" s="65535"/>
      <c r="AG16" s="65535"/>
      <c r="AH16" s="65535"/>
      <c r="AI16" s="65535"/>
      <c r="AJ16" s="65535"/>
      <c r="AK16" s="65535"/>
    </row>
    <row r="17" spans="2:37">
      <c r="B17" s="65535"/>
      <c r="C17" s="65535"/>
      <c r="D17" s="65535"/>
      <c r="E17" s="65535"/>
      <c r="F17" s="65535"/>
      <c r="G17" s="65535"/>
      <c r="H17" s="65535"/>
      <c r="I17" s="65535"/>
      <c r="J17" s="65535"/>
      <c r="K17" s="65535"/>
      <c r="L17" s="65535"/>
      <c r="M17" s="65535"/>
      <c r="N17" s="65535"/>
      <c r="O17" s="65535"/>
      <c r="P17" s="65535"/>
      <c r="Q17" s="65535"/>
      <c r="R17" s="65535"/>
      <c r="S17" s="65535"/>
      <c r="T17" s="65535"/>
      <c r="U17" s="65535"/>
      <c r="V17" s="65535"/>
      <c r="W17" s="65535"/>
      <c r="X17" s="65535"/>
      <c r="Y17" s="65535"/>
      <c r="Z17" s="65535"/>
      <c r="AA17" s="65535"/>
      <c r="AB17" s="65535"/>
      <c r="AC17" s="65535"/>
      <c r="AD17" s="65535"/>
      <c r="AE17" s="65535"/>
      <c r="AF17" s="65535"/>
      <c r="AG17" s="65535"/>
      <c r="AH17" s="65535"/>
      <c r="AI17" s="65535"/>
      <c r="AJ17" s="65535"/>
      <c r="AK17" s="65535"/>
    </row>
    <row r="18" spans="2:37">
      <c r="B18" s="65535"/>
      <c r="C18" s="65535"/>
      <c r="D18" s="65535"/>
      <c r="E18" s="65535"/>
      <c r="F18" s="65535"/>
      <c r="G18" s="65535"/>
      <c r="H18" s="65535"/>
      <c r="I18" s="65535"/>
      <c r="J18" s="65535"/>
      <c r="K18" s="65535"/>
      <c r="L18" s="65535"/>
      <c r="M18" s="65535"/>
      <c r="N18" s="65535"/>
      <c r="O18" s="65535"/>
      <c r="P18" s="65535"/>
      <c r="Q18" s="65535"/>
      <c r="R18" s="65535"/>
      <c r="S18" s="65535"/>
      <c r="T18" s="65535"/>
      <c r="U18" s="65535"/>
      <c r="V18" s="65535"/>
      <c r="W18" s="65535"/>
      <c r="X18" s="65535"/>
      <c r="Y18" s="65535"/>
      <c r="Z18" s="65535"/>
      <c r="AA18" s="65535"/>
      <c r="AB18" s="65535"/>
      <c r="AC18" s="65535"/>
      <c r="AD18" s="65535"/>
      <c r="AE18" s="65535"/>
      <c r="AF18" s="65535"/>
      <c r="AG18" s="65535"/>
      <c r="AH18" s="65535"/>
      <c r="AI18" s="65535"/>
      <c r="AJ18" s="65535"/>
      <c r="AK18" s="65535"/>
    </row>
    <row r="19" spans="2:37">
      <c r="B19" s="65535"/>
      <c r="C19" s="65535"/>
      <c r="D19" s="65535"/>
      <c r="E19" s="65535"/>
      <c r="F19" s="65535"/>
      <c r="G19" s="65535"/>
      <c r="H19" s="65535"/>
      <c r="I19" s="65535"/>
      <c r="J19" s="65535"/>
      <c r="K19" s="65535"/>
      <c r="L19" s="65535"/>
      <c r="M19" s="65535"/>
      <c r="N19" s="65535"/>
      <c r="O19" s="65535"/>
      <c r="P19" s="65535"/>
      <c r="Q19" s="65535"/>
      <c r="R19" s="65535"/>
      <c r="S19" s="65535"/>
      <c r="T19" s="65535"/>
      <c r="U19" s="65535"/>
      <c r="V19" s="65535"/>
      <c r="W19" s="65535"/>
      <c r="X19" s="65535"/>
      <c r="Y19" s="65535"/>
      <c r="Z19" s="65535"/>
      <c r="AA19" s="65535"/>
      <c r="AB19" s="65535"/>
      <c r="AC19" s="65535"/>
      <c r="AD19" s="65535"/>
      <c r="AE19" s="65535"/>
      <c r="AF19" s="65535"/>
      <c r="AG19" s="65535"/>
      <c r="AH19" s="65535"/>
      <c r="AI19" s="65535"/>
      <c r="AJ19" s="65535"/>
      <c r="AK19" s="65535"/>
    </row>
    <row r="20" spans="2:37">
      <c r="B20" s="65535"/>
      <c r="C20" s="65535"/>
      <c r="D20" s="65535"/>
      <c r="E20" s="65535"/>
      <c r="F20" s="65535"/>
      <c r="G20" s="65535"/>
      <c r="H20" s="65535"/>
      <c r="I20" s="65535"/>
      <c r="J20" s="65535"/>
      <c r="K20" s="65535"/>
      <c r="L20" s="65535"/>
      <c r="M20" s="65535"/>
      <c r="N20" s="65535"/>
      <c r="O20" s="65535"/>
      <c r="P20" s="65535"/>
      <c r="Q20" s="65535"/>
      <c r="R20" s="65535"/>
      <c r="S20" s="65535"/>
      <c r="T20" s="65535"/>
      <c r="U20" s="65535"/>
      <c r="V20" s="65535"/>
      <c r="W20" s="65535"/>
      <c r="X20" s="65535"/>
      <c r="Y20" s="65535"/>
      <c r="Z20" s="65535"/>
      <c r="AA20" s="65535"/>
      <c r="AB20" s="65535"/>
      <c r="AC20" s="65535"/>
      <c r="AD20" s="65535"/>
      <c r="AE20" s="65535"/>
      <c r="AF20" s="65535"/>
      <c r="AG20" s="65535"/>
      <c r="AH20" s="65535"/>
      <c r="AI20" s="65535"/>
      <c r="AJ20" s="65535"/>
      <c r="AK20" s="65535"/>
    </row>
    <row r="21" spans="2:37">
      <c r="B21" s="65535"/>
      <c r="C21" s="65535"/>
      <c r="D21" s="65535"/>
      <c r="E21" s="65535"/>
      <c r="F21" s="65535"/>
      <c r="G21" s="65535"/>
      <c r="H21" s="65535"/>
      <c r="I21" s="65535"/>
      <c r="J21" s="65535"/>
      <c r="K21" s="65535"/>
      <c r="L21" s="65535"/>
      <c r="M21" s="65535"/>
      <c r="N21" s="65535"/>
      <c r="O21" s="65535"/>
      <c r="P21" s="65535"/>
      <c r="Q21" s="65535"/>
      <c r="R21" s="65535"/>
      <c r="S21" s="65535"/>
      <c r="T21" s="65535"/>
      <c r="U21" s="65535"/>
      <c r="V21" s="65535"/>
      <c r="W21" s="65535"/>
      <c r="X21" s="65535"/>
      <c r="Y21" s="65535"/>
      <c r="Z21" s="65535"/>
      <c r="AA21" s="65535"/>
      <c r="AB21" s="65535"/>
      <c r="AC21" s="65535"/>
      <c r="AD21" s="65535"/>
      <c r="AE21" s="65535"/>
      <c r="AF21" s="65535"/>
      <c r="AG21" s="65535"/>
      <c r="AH21" s="65535"/>
      <c r="AI21" s="65535"/>
      <c r="AJ21" s="65535"/>
      <c r="AK21" s="65535"/>
    </row>
    <row r="22" spans="2:37">
      <c r="B22" s="65535"/>
      <c r="C22" s="65535"/>
      <c r="D22" s="65535"/>
      <c r="E22" s="65535"/>
      <c r="F22" s="65535"/>
      <c r="G22" s="65535"/>
      <c r="H22" s="65535"/>
      <c r="I22" s="65535"/>
      <c r="J22" s="65535"/>
      <c r="K22" s="65535"/>
      <c r="L22" s="65535"/>
      <c r="M22" s="65535"/>
      <c r="N22" s="65535"/>
      <c r="O22" s="65535"/>
      <c r="P22" s="65535"/>
      <c r="Q22" s="65535"/>
      <c r="R22" s="65535"/>
      <c r="S22" s="65535"/>
      <c r="T22" s="65535"/>
      <c r="U22" s="65535"/>
      <c r="V22" s="65535"/>
      <c r="W22" s="65535"/>
      <c r="X22" s="65535"/>
      <c r="Y22" s="65535"/>
      <c r="Z22" s="65535"/>
      <c r="AA22" s="65535"/>
      <c r="AB22" s="65535"/>
      <c r="AC22" s="65535"/>
      <c r="AD22" s="65535"/>
      <c r="AE22" s="65535"/>
      <c r="AF22" s="65535"/>
      <c r="AG22" s="65535"/>
      <c r="AH22" s="65535"/>
      <c r="AI22" s="65535"/>
      <c r="AJ22" s="65535"/>
      <c r="AK22" s="65535"/>
    </row>
    <row r="23" spans="2:37">
      <c r="B23" s="65535"/>
      <c r="C23" s="65535"/>
      <c r="D23" s="65535"/>
      <c r="E23" s="65535"/>
      <c r="F23" s="65535"/>
      <c r="G23" s="65535"/>
      <c r="H23" s="65535"/>
      <c r="I23" s="65535"/>
      <c r="J23" s="65535"/>
      <c r="K23" s="65535"/>
      <c r="L23" s="65535"/>
      <c r="M23" s="65535"/>
      <c r="N23" s="65535"/>
      <c r="O23" s="65535"/>
      <c r="P23" s="65535"/>
      <c r="Q23" s="65535"/>
      <c r="R23" s="65535"/>
      <c r="S23" s="65535"/>
      <c r="T23" s="65535"/>
      <c r="U23" s="65535"/>
      <c r="V23" s="65535"/>
      <c r="W23" s="65535"/>
      <c r="X23" s="65535"/>
      <c r="Y23" s="65535"/>
      <c r="Z23" s="65535"/>
      <c r="AA23" s="65535"/>
      <c r="AB23" s="65535"/>
      <c r="AC23" s="65535"/>
      <c r="AD23" s="65535"/>
      <c r="AE23" s="65535"/>
      <c r="AF23" s="65535"/>
      <c r="AG23" s="65535"/>
      <c r="AH23" s="65535"/>
      <c r="AI23" s="65535"/>
      <c r="AJ23" s="65535"/>
      <c r="AK23" s="65535"/>
    </row>
    <row r="24" spans="2:37">
      <c r="B24" s="65535"/>
      <c r="C24" s="65535"/>
      <c r="D24" s="65535"/>
      <c r="E24" s="65535"/>
      <c r="F24" s="65535"/>
      <c r="G24" s="65535"/>
      <c r="H24" s="65535"/>
      <c r="I24" s="65535"/>
      <c r="J24" s="65535"/>
      <c r="K24" s="65535"/>
      <c r="L24" s="65535"/>
      <c r="M24" s="65535"/>
      <c r="N24" s="65535"/>
      <c r="O24" s="65535"/>
      <c r="P24" s="65535"/>
      <c r="Q24" s="65535"/>
      <c r="R24" s="65535"/>
      <c r="S24" s="65535"/>
      <c r="T24" s="65535"/>
      <c r="U24" s="65535"/>
      <c r="V24" s="65535"/>
      <c r="W24" s="65535"/>
      <c r="X24" s="65535"/>
      <c r="Y24" s="65535"/>
      <c r="Z24" s="65535"/>
      <c r="AA24" s="65535"/>
      <c r="AB24" s="65535"/>
      <c r="AC24" s="65535"/>
      <c r="AD24" s="65535"/>
      <c r="AE24" s="65535"/>
      <c r="AF24" s="65535"/>
      <c r="AG24" s="65535"/>
      <c r="AH24" s="65535"/>
      <c r="AI24" s="65535"/>
      <c r="AJ24" s="65535"/>
      <c r="AK24" s="65535"/>
    </row>
    <row r="25" spans="2:37">
      <c r="B25" s="65535"/>
      <c r="C25" s="65535"/>
      <c r="D25" s="65535"/>
      <c r="E25" s="65535"/>
      <c r="F25" s="65535"/>
      <c r="G25" s="65535"/>
      <c r="H25" s="65535"/>
      <c r="I25" s="65535"/>
      <c r="J25" s="65535"/>
      <c r="K25" s="65535"/>
      <c r="L25" s="65535"/>
      <c r="M25" s="65535"/>
      <c r="N25" s="65535"/>
      <c r="O25" s="65535"/>
      <c r="P25" s="65535"/>
      <c r="Q25" s="65535"/>
      <c r="R25" s="65535"/>
      <c r="S25" s="65535"/>
      <c r="T25" s="65535"/>
      <c r="U25" s="65535"/>
      <c r="V25" s="65535"/>
      <c r="W25" s="65535"/>
      <c r="X25" s="65535"/>
      <c r="Y25" s="65535"/>
      <c r="Z25" s="65535"/>
      <c r="AA25" s="65535"/>
      <c r="AB25" s="65535"/>
      <c r="AC25" s="65535"/>
      <c r="AD25" s="65535"/>
      <c r="AE25" s="65535"/>
      <c r="AF25" s="65535"/>
      <c r="AG25" s="65535"/>
      <c r="AH25" s="65535"/>
      <c r="AI25" s="65535"/>
      <c r="AJ25" s="65535"/>
      <c r="AK25" s="65535"/>
    </row>
    <row r="26" spans="2:37">
      <c r="B26" s="65535"/>
      <c r="C26" s="65535"/>
      <c r="D26" s="65535"/>
      <c r="E26" s="65535"/>
      <c r="F26" s="65535"/>
      <c r="G26" s="65535"/>
      <c r="H26" s="65535"/>
      <c r="I26" s="65535"/>
      <c r="J26" s="65535"/>
      <c r="K26" s="65535"/>
      <c r="L26" s="65535"/>
      <c r="M26" s="65535"/>
      <c r="N26" s="65535"/>
      <c r="O26" s="65535"/>
      <c r="P26" s="65535"/>
      <c r="Q26" s="65535"/>
      <c r="R26" s="65535"/>
      <c r="S26" s="65535"/>
      <c r="T26" s="65535"/>
      <c r="U26" s="65535"/>
      <c r="V26" s="65535"/>
      <c r="W26" s="65535"/>
      <c r="X26" s="65535"/>
      <c r="Y26" s="65535"/>
      <c r="Z26" s="65535"/>
      <c r="AA26" s="65535"/>
      <c r="AB26" s="65535"/>
      <c r="AC26" s="65535"/>
      <c r="AD26" s="65535"/>
      <c r="AE26" s="65535"/>
      <c r="AF26" s="65535"/>
      <c r="AG26" s="65535"/>
      <c r="AH26" s="65535"/>
      <c r="AI26" s="65535"/>
      <c r="AJ26" s="65535"/>
      <c r="AK26" s="65535"/>
    </row>
    <row r="27" spans="2:37">
      <c r="B27" s="65535"/>
      <c r="C27" s="65535"/>
      <c r="D27" s="65535"/>
      <c r="E27" s="65535"/>
      <c r="F27" s="65535"/>
      <c r="G27" s="65535"/>
      <c r="H27" s="65535"/>
      <c r="I27" s="65535"/>
      <c r="J27" s="65535"/>
      <c r="K27" s="65535"/>
      <c r="L27" s="65535"/>
      <c r="M27" s="65535"/>
      <c r="N27" s="65535"/>
      <c r="O27" s="65535"/>
      <c r="P27" s="65535"/>
      <c r="Q27" s="65535"/>
      <c r="R27" s="65535"/>
      <c r="S27" s="65535"/>
      <c r="T27" s="65535"/>
      <c r="U27" s="65535"/>
      <c r="V27" s="65535"/>
      <c r="W27" s="65535"/>
      <c r="X27" s="65535"/>
      <c r="Y27" s="65535"/>
      <c r="Z27" s="65535"/>
      <c r="AA27" s="65535"/>
      <c r="AB27" s="65535"/>
      <c r="AC27" s="65535"/>
      <c r="AD27" s="65535"/>
      <c r="AE27" s="65535"/>
      <c r="AF27" s="65535"/>
      <c r="AG27" s="65535"/>
      <c r="AH27" s="65535"/>
      <c r="AI27" s="65535"/>
      <c r="AJ27" s="65535"/>
      <c r="AK27" s="65535"/>
    </row>
    <row r="28" spans="2:37">
      <c r="B28" s="65535"/>
      <c r="C28" s="65535"/>
      <c r="D28" s="65535"/>
      <c r="E28" s="65535"/>
      <c r="F28" s="65535"/>
      <c r="G28" s="65535"/>
      <c r="H28" s="65535"/>
      <c r="I28" s="65535"/>
      <c r="J28" s="65535"/>
      <c r="K28" s="65535"/>
      <c r="L28" s="65535"/>
      <c r="M28" s="65535"/>
      <c r="N28" s="65535"/>
      <c r="O28" s="65535"/>
      <c r="P28" s="65535"/>
      <c r="Q28" s="65535"/>
      <c r="R28" s="65535"/>
      <c r="S28" s="65535"/>
      <c r="T28" s="65535"/>
      <c r="U28" s="65535"/>
      <c r="V28" s="65535"/>
      <c r="W28" s="65535"/>
      <c r="X28" s="65535"/>
      <c r="Y28" s="65535"/>
      <c r="Z28" s="65535"/>
      <c r="AA28" s="65535"/>
      <c r="AB28" s="65535"/>
      <c r="AC28" s="65535"/>
      <c r="AD28" s="65535"/>
      <c r="AE28" s="65535"/>
      <c r="AF28" s="65535"/>
      <c r="AG28" s="65535"/>
      <c r="AH28" s="65535"/>
      <c r="AI28" s="65535"/>
      <c r="AJ28" s="65535"/>
      <c r="AK28" s="65535"/>
    </row>
    <row r="29" spans="2:37">
      <c r="B29" s="65535"/>
      <c r="C29" s="65535"/>
      <c r="D29" s="65535"/>
      <c r="E29" s="65535"/>
      <c r="F29" s="65535"/>
      <c r="G29" s="65535"/>
      <c r="H29" s="65535"/>
      <c r="I29" s="65535"/>
      <c r="J29" s="65535"/>
      <c r="K29" s="65535"/>
      <c r="L29" s="65535"/>
      <c r="M29" s="65535"/>
      <c r="N29" s="65535"/>
      <c r="O29" s="65535"/>
      <c r="P29" s="65535"/>
      <c r="Q29" s="65535"/>
      <c r="R29" s="65535"/>
      <c r="S29" s="65535"/>
      <c r="T29" s="65535"/>
      <c r="U29" s="65535"/>
      <c r="V29" s="65535"/>
      <c r="W29" s="65535"/>
      <c r="X29" s="65535"/>
      <c r="Y29" s="65535"/>
      <c r="Z29" s="65535"/>
      <c r="AA29" s="65535"/>
      <c r="AB29" s="65535"/>
      <c r="AC29" s="65535"/>
      <c r="AD29" s="65535"/>
      <c r="AE29" s="65535"/>
      <c r="AF29" s="65535"/>
      <c r="AG29" s="65535"/>
      <c r="AH29" s="65535"/>
      <c r="AI29" s="65535"/>
      <c r="AJ29" s="65535"/>
      <c r="AK29" s="65535"/>
    </row>
    <row r="30" spans="2:37">
      <c r="B30" s="65535"/>
      <c r="C30" s="65535"/>
      <c r="D30" s="65535"/>
      <c r="E30" s="65535"/>
      <c r="F30" s="65535"/>
      <c r="G30" s="65535"/>
      <c r="H30" s="65535"/>
      <c r="I30" s="65535"/>
      <c r="J30" s="65535"/>
      <c r="K30" s="65535"/>
      <c r="L30" s="65535"/>
      <c r="M30" s="65535"/>
      <c r="N30" s="65535"/>
      <c r="O30" s="65535"/>
      <c r="P30" s="65535"/>
      <c r="Q30" s="65535"/>
      <c r="R30" s="65535"/>
      <c r="S30" s="65535"/>
      <c r="T30" s="65535"/>
      <c r="U30" s="65535"/>
      <c r="V30" s="65535"/>
      <c r="W30" s="65535"/>
      <c r="X30" s="65535"/>
      <c r="Y30" s="65535"/>
      <c r="Z30" s="65535"/>
      <c r="AA30" s="65535"/>
      <c r="AB30" s="65535"/>
      <c r="AC30" s="65535"/>
      <c r="AD30" s="65535"/>
      <c r="AE30" s="65535"/>
      <c r="AF30" s="65535"/>
      <c r="AG30" s="65535"/>
      <c r="AH30" s="65535"/>
      <c r="AI30" s="65535"/>
      <c r="AJ30" s="65535"/>
      <c r="AK30" s="65535"/>
    </row>
    <row r="31" spans="2:37">
      <c r="B31" s="65535"/>
      <c r="C31" s="65535"/>
      <c r="D31" s="65535"/>
      <c r="E31" s="65535"/>
      <c r="F31" s="65535"/>
      <c r="G31" s="65535"/>
      <c r="H31" s="65535"/>
      <c r="I31" s="65535"/>
      <c r="J31" s="65535"/>
      <c r="K31" s="65535"/>
      <c r="L31" s="65535"/>
      <c r="M31" s="65535"/>
      <c r="N31" s="65535"/>
      <c r="O31" s="65535"/>
      <c r="P31" s="65535"/>
      <c r="Q31" s="65535"/>
      <c r="R31" s="65535"/>
      <c r="S31" s="65535"/>
      <c r="T31" s="65535"/>
      <c r="U31" s="65535"/>
      <c r="V31" s="65535"/>
      <c r="W31" s="65535"/>
      <c r="X31" s="65535"/>
      <c r="Y31" s="65535"/>
      <c r="Z31" s="65535"/>
      <c r="AA31" s="65535"/>
      <c r="AB31" s="65535"/>
      <c r="AC31" s="65535"/>
      <c r="AD31" s="65535"/>
      <c r="AE31" s="65535"/>
      <c r="AF31" s="65535"/>
      <c r="AG31" s="65535"/>
      <c r="AH31" s="65535"/>
      <c r="AI31" s="65535"/>
      <c r="AJ31" s="65535"/>
      <c r="AK31" s="65535"/>
    </row>
    <row r="32" spans="2:37">
      <c r="B32" s="65535"/>
      <c r="C32" s="65535"/>
      <c r="D32" s="65535"/>
      <c r="E32" s="65535"/>
      <c r="F32" s="65535"/>
      <c r="G32" s="65535"/>
      <c r="H32" s="65535"/>
      <c r="I32" s="65535"/>
      <c r="J32" s="65535"/>
      <c r="K32" s="65535"/>
      <c r="L32" s="65535"/>
      <c r="M32" s="65535"/>
      <c r="N32" s="65535"/>
      <c r="O32" s="65535"/>
      <c r="P32" s="65535"/>
      <c r="Q32" s="65535"/>
      <c r="R32" s="65535"/>
      <c r="S32" s="65535"/>
      <c r="T32" s="65535"/>
      <c r="U32" s="65535"/>
      <c r="V32" s="65535"/>
      <c r="W32" s="65535"/>
      <c r="X32" s="65535"/>
      <c r="Y32" s="65535"/>
      <c r="Z32" s="65535"/>
      <c r="AA32" s="65535"/>
      <c r="AB32" s="65535"/>
      <c r="AC32" s="65535"/>
      <c r="AD32" s="65535"/>
      <c r="AE32" s="65535"/>
      <c r="AF32" s="65535"/>
      <c r="AG32" s="65535"/>
      <c r="AH32" s="65535"/>
      <c r="AI32" s="65535"/>
      <c r="AJ32" s="65535"/>
      <c r="AK32" s="65535"/>
    </row>
    <row r="33" spans="2:37">
      <c r="B33" s="65535"/>
      <c r="C33" s="65535"/>
      <c r="D33" s="65535"/>
      <c r="E33" s="65535"/>
      <c r="F33" s="65535"/>
      <c r="G33" s="65535"/>
      <c r="H33" s="65535"/>
      <c r="I33" s="65535"/>
      <c r="J33" s="65535"/>
      <c r="K33" s="65535"/>
      <c r="L33" s="65535"/>
      <c r="M33" s="65535"/>
      <c r="N33" s="65535"/>
      <c r="O33" s="65535"/>
      <c r="P33" s="65535"/>
      <c r="Q33" s="65535"/>
      <c r="R33" s="65535"/>
      <c r="S33" s="65535"/>
      <c r="T33" s="65535"/>
      <c r="U33" s="65535"/>
      <c r="V33" s="65535"/>
      <c r="W33" s="65535"/>
      <c r="X33" s="65535"/>
      <c r="Y33" s="65535"/>
      <c r="Z33" s="65535"/>
      <c r="AA33" s="65535"/>
      <c r="AB33" s="65535"/>
      <c r="AC33" s="65535"/>
      <c r="AD33" s="65535"/>
      <c r="AE33" s="65535"/>
      <c r="AF33" s="65535"/>
      <c r="AG33" s="65535"/>
      <c r="AH33" s="65535"/>
      <c r="AI33" s="65535"/>
      <c r="AJ33" s="65535"/>
      <c r="AK33" s="65535"/>
    </row>
    <row r="34" spans="2:37">
      <c r="B34" s="65535"/>
      <c r="C34" s="65535"/>
      <c r="D34" s="65535"/>
      <c r="E34" s="65535"/>
      <c r="F34" s="65535"/>
      <c r="G34" s="65535"/>
      <c r="H34" s="65535"/>
      <c r="I34" s="65535"/>
      <c r="J34" s="65535"/>
      <c r="K34" s="65535"/>
      <c r="L34" s="65535"/>
      <c r="M34" s="65535"/>
      <c r="N34" s="65535"/>
      <c r="O34" s="65535"/>
      <c r="P34" s="65535"/>
      <c r="Q34" s="65535"/>
      <c r="R34" s="65535"/>
      <c r="S34" s="65535"/>
      <c r="T34" s="65535"/>
      <c r="U34" s="65535"/>
      <c r="V34" s="65535"/>
      <c r="W34" s="65535"/>
      <c r="X34" s="65535"/>
      <c r="Y34" s="65535"/>
      <c r="Z34" s="65535"/>
      <c r="AA34" s="65535"/>
      <c r="AB34" s="65535"/>
      <c r="AC34" s="65535"/>
      <c r="AD34" s="65535"/>
      <c r="AE34" s="65535"/>
      <c r="AF34" s="65535"/>
      <c r="AG34" s="65535"/>
      <c r="AH34" s="65535"/>
      <c r="AI34" s="65535"/>
      <c r="AJ34" s="65535"/>
      <c r="AK34" s="65535"/>
    </row>
    <row r="35" spans="2:37">
      <c r="B35" s="65535"/>
      <c r="C35" s="65535"/>
      <c r="D35" s="65535"/>
      <c r="E35" s="65535"/>
      <c r="F35" s="65535"/>
      <c r="G35" s="65535"/>
      <c r="H35" s="65535"/>
      <c r="I35" s="65535"/>
      <c r="J35" s="65535"/>
      <c r="K35" s="65535"/>
      <c r="L35" s="65535"/>
      <c r="M35" s="65535"/>
      <c r="N35" s="65535"/>
      <c r="O35" s="65535"/>
      <c r="P35" s="65535"/>
      <c r="Q35" s="65535"/>
      <c r="R35" s="65535"/>
      <c r="S35" s="65535"/>
      <c r="T35" s="65535"/>
      <c r="U35" s="65535"/>
      <c r="V35" s="65535"/>
      <c r="W35" s="65535"/>
      <c r="X35" s="65535"/>
      <c r="Y35" s="65535"/>
      <c r="Z35" s="65535"/>
      <c r="AA35" s="65535"/>
      <c r="AB35" s="65535"/>
      <c r="AC35" s="65535"/>
      <c r="AD35" s="65535"/>
      <c r="AE35" s="65535"/>
      <c r="AF35" s="65535"/>
      <c r="AG35" s="65535"/>
      <c r="AH35" s="65535"/>
      <c r="AI35" s="65535"/>
      <c r="AJ35" s="65535"/>
      <c r="AK35" s="65535"/>
    </row>
    <row r="36" spans="2:37">
      <c r="B36" s="65535"/>
      <c r="C36" s="65535"/>
      <c r="D36" s="65535"/>
      <c r="E36" s="65535"/>
      <c r="F36" s="65535"/>
      <c r="G36" s="65535"/>
      <c r="H36" s="65535"/>
      <c r="I36" s="65535"/>
      <c r="J36" s="65535"/>
      <c r="K36" s="65535"/>
      <c r="L36" s="65535"/>
      <c r="M36" s="65535"/>
      <c r="N36" s="65535"/>
      <c r="O36" s="65535"/>
      <c r="P36" s="65535"/>
      <c r="Q36" s="65535"/>
      <c r="R36" s="65535"/>
      <c r="S36" s="65535"/>
      <c r="T36" s="65535"/>
      <c r="U36" s="65535"/>
      <c r="V36" s="65535"/>
      <c r="W36" s="65535"/>
      <c r="X36" s="65535"/>
      <c r="Y36" s="65535"/>
      <c r="Z36" s="65535"/>
      <c r="AA36" s="65535"/>
      <c r="AB36" s="65535"/>
      <c r="AC36" s="65535"/>
      <c r="AD36" s="65535"/>
      <c r="AE36" s="65535"/>
      <c r="AF36" s="65535"/>
      <c r="AG36" s="65535"/>
      <c r="AH36" s="65535"/>
      <c r="AI36" s="65535"/>
      <c r="AJ36" s="65535"/>
      <c r="AK36" s="65535"/>
    </row>
    <row r="37" spans="2:37">
      <c r="B37" s="65535"/>
      <c r="C37" s="65535"/>
      <c r="D37" s="65535"/>
      <c r="E37" s="65535"/>
      <c r="F37" s="65535"/>
      <c r="G37" s="65535"/>
      <c r="H37" s="65535"/>
      <c r="I37" s="65535"/>
      <c r="J37" s="65535"/>
      <c r="K37" s="65535"/>
      <c r="L37" s="65535"/>
      <c r="M37" s="65535"/>
      <c r="N37" s="65535"/>
      <c r="O37" s="65535"/>
      <c r="P37" s="65535"/>
      <c r="Q37" s="65535"/>
      <c r="R37" s="65535"/>
      <c r="S37" s="65535"/>
      <c r="T37" s="65535"/>
      <c r="U37" s="65535"/>
      <c r="V37" s="65535"/>
      <c r="W37" s="65535"/>
      <c r="X37" s="65535"/>
      <c r="Y37" s="65535"/>
      <c r="Z37" s="65535"/>
      <c r="AA37" s="65535"/>
      <c r="AB37" s="65535"/>
      <c r="AC37" s="65535"/>
      <c r="AD37" s="65535"/>
      <c r="AE37" s="65535"/>
      <c r="AF37" s="65535"/>
      <c r="AG37" s="65535"/>
      <c r="AH37" s="65535"/>
      <c r="AI37" s="65535"/>
      <c r="AJ37" s="65535"/>
      <c r="AK37" s="65535"/>
    </row>
    <row r="38" spans="2:37">
      <c r="B38" s="65535"/>
      <c r="C38" s="65535"/>
      <c r="D38" s="65535"/>
      <c r="E38" s="65535"/>
      <c r="F38" s="65535"/>
      <c r="G38" s="65535"/>
      <c r="H38" s="65535"/>
      <c r="I38" s="65535"/>
      <c r="J38" s="65535"/>
      <c r="K38" s="65535"/>
      <c r="L38" s="65535"/>
      <c r="M38" s="65535"/>
      <c r="N38" s="65535"/>
      <c r="O38" s="65535"/>
      <c r="P38" s="65535"/>
      <c r="Q38" s="65535"/>
      <c r="R38" s="65535"/>
      <c r="S38" s="65535"/>
      <c r="T38" s="65535"/>
      <c r="U38" s="65535"/>
      <c r="V38" s="65535"/>
      <c r="W38" s="65535"/>
      <c r="X38" s="65535"/>
      <c r="Y38" s="65535"/>
      <c r="Z38" s="65535"/>
      <c r="AA38" s="65535"/>
      <c r="AB38" s="65535"/>
      <c r="AC38" s="65535"/>
      <c r="AD38" s="65535"/>
      <c r="AE38" s="65535"/>
      <c r="AF38" s="65535"/>
      <c r="AG38" s="65535"/>
      <c r="AH38" s="65535"/>
      <c r="AI38" s="65535"/>
      <c r="AJ38" s="65535"/>
      <c r="AK38" s="65535"/>
    </row>
    <row r="39" spans="2:37">
      <c r="B39" s="65535"/>
      <c r="C39" s="65535"/>
      <c r="D39" s="65535"/>
      <c r="E39" s="65535"/>
      <c r="F39" s="65535"/>
      <c r="G39" s="65535"/>
      <c r="H39" s="65535"/>
      <c r="I39" s="65535"/>
      <c r="J39" s="65535"/>
      <c r="K39" s="65535"/>
      <c r="L39" s="65535"/>
      <c r="M39" s="65535"/>
      <c r="N39" s="65535"/>
      <c r="O39" s="65535"/>
      <c r="P39" s="65535"/>
      <c r="Q39" s="65535"/>
      <c r="R39" s="65535"/>
      <c r="S39" s="65535"/>
      <c r="T39" s="65535"/>
      <c r="U39" s="65535"/>
      <c r="V39" s="65535"/>
      <c r="W39" s="65535"/>
      <c r="X39" s="65535"/>
      <c r="Y39" s="65535"/>
      <c r="Z39" s="65535"/>
      <c r="AA39" s="65535"/>
      <c r="AB39" s="65535"/>
      <c r="AC39" s="65535"/>
      <c r="AD39" s="65535"/>
      <c r="AE39" s="65535"/>
      <c r="AF39" s="65535"/>
      <c r="AG39" s="65535"/>
      <c r="AH39" s="65535"/>
      <c r="AI39" s="65535"/>
      <c r="AJ39" s="65535"/>
      <c r="AK39" s="65535"/>
    </row>
    <row r="40" spans="2:37" ht="15" thickBot="1">
      <c r="B40" s="65535"/>
      <c r="C40" s="65535"/>
      <c r="D40" s="65535"/>
      <c r="E40" s="65535"/>
      <c r="F40" s="65535"/>
      <c r="G40" s="65535"/>
      <c r="H40" s="65535"/>
      <c r="I40" s="65535"/>
      <c r="J40" s="65535"/>
      <c r="K40" s="65535"/>
      <c r="L40" s="65535"/>
      <c r="M40" s="65535"/>
      <c r="N40" s="65535"/>
      <c r="O40" s="65535"/>
      <c r="P40" s="65535"/>
      <c r="Q40" s="65535"/>
      <c r="R40" s="65535"/>
      <c r="S40" s="65535"/>
      <c r="T40" s="65535"/>
      <c r="U40" s="65535"/>
      <c r="V40" s="65535"/>
      <c r="W40" s="65535"/>
      <c r="X40" s="65535"/>
      <c r="Y40" s="65535"/>
      <c r="Z40" s="65535"/>
      <c r="AA40" s="65535"/>
      <c r="AB40" s="65535"/>
      <c r="AC40" s="65535"/>
      <c r="AD40" s="65535"/>
      <c r="AE40" s="65535"/>
      <c r="AF40" s="65535"/>
      <c r="AG40" s="65535"/>
      <c r="AH40" s="65535"/>
      <c r="AI40" s="65535"/>
      <c r="AJ40" s="65535"/>
      <c r="AK40" s="655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F6590-CDC8-4EB2-92F7-833C552DAE31}">
  <dimension ref="B1:Y28"/>
  <sheetViews>
    <sheetView showGridLines="0" zoomScale="89" workbookViewId="0"/>
  </sheetViews>
  <sheetFormatPr defaultRowHeight="14.4"/>
  <sheetData>
    <row r="1" spans="2:25" ht="15" thickBot="1"/>
    <row r="2" spans="2:25">
      <c r="B2" s="65535"/>
      <c r="C2" s="65535"/>
      <c r="D2" s="65535"/>
      <c r="E2" s="65535"/>
      <c r="F2" s="65535"/>
      <c r="G2" s="65535"/>
      <c r="H2" s="65535"/>
      <c r="I2" s="65535"/>
      <c r="J2" s="65535"/>
      <c r="K2" s="65535"/>
      <c r="L2" s="65535"/>
      <c r="M2" s="65535"/>
      <c r="N2" s="65535"/>
      <c r="O2" s="65535"/>
      <c r="P2" s="65535"/>
      <c r="Q2" s="65535"/>
      <c r="R2" s="65535"/>
      <c r="S2" s="65535"/>
      <c r="T2" s="65535"/>
      <c r="U2" s="65535"/>
      <c r="V2" s="65535"/>
      <c r="W2" s="65535"/>
      <c r="X2" s="65535"/>
      <c r="Y2" s="65535"/>
    </row>
    <row r="3" spans="2:25">
      <c r="B3" s="65535"/>
      <c r="C3" s="65535"/>
      <c r="D3" s="65535"/>
      <c r="E3" s="65535"/>
      <c r="F3" s="65535"/>
      <c r="G3" s="65535"/>
      <c r="H3" s="65535"/>
      <c r="I3" s="65535"/>
      <c r="J3" s="65535"/>
      <c r="K3" s="65535"/>
      <c r="L3" s="65535"/>
      <c r="M3" s="65535"/>
      <c r="N3" s="65535"/>
      <c r="O3" s="65535"/>
      <c r="P3" s="65535"/>
      <c r="Q3" s="65535"/>
      <c r="R3" s="65535"/>
      <c r="S3" s="65535"/>
      <c r="T3" s="65535"/>
      <c r="U3" s="65535"/>
      <c r="V3" s="65535"/>
      <c r="W3" s="65535"/>
      <c r="X3" s="65535"/>
      <c r="Y3" s="65535"/>
    </row>
    <row r="4" spans="2:25">
      <c r="B4" s="65535"/>
      <c r="C4" s="65535"/>
      <c r="D4" s="65535"/>
      <c r="E4" s="65535"/>
      <c r="F4" s="65535"/>
      <c r="G4" s="65535"/>
      <c r="H4" s="65535"/>
      <c r="I4" s="65535"/>
      <c r="J4" s="65535"/>
      <c r="K4" s="65535"/>
      <c r="L4" s="65535"/>
      <c r="M4" s="65535"/>
      <c r="N4" s="65535"/>
      <c r="O4" s="65535"/>
      <c r="P4" s="65535"/>
      <c r="Q4" s="65535"/>
      <c r="R4" s="65535"/>
      <c r="S4" s="65535"/>
      <c r="T4" s="65535"/>
      <c r="U4" s="65535"/>
      <c r="V4" s="65535"/>
      <c r="W4" s="65535"/>
      <c r="X4" s="65535"/>
      <c r="Y4" s="65535"/>
    </row>
    <row r="5" spans="2:25">
      <c r="B5" s="65535"/>
      <c r="C5" s="65535"/>
      <c r="D5" s="65535"/>
      <c r="E5" s="65535"/>
      <c r="F5" s="65535"/>
      <c r="G5" s="65535"/>
      <c r="H5" s="65535"/>
      <c r="I5" s="65535"/>
      <c r="J5" s="65535"/>
      <c r="K5" s="65535"/>
      <c r="L5" s="65535"/>
      <c r="M5" s="65535"/>
      <c r="N5" s="65535"/>
      <c r="O5" s="65535"/>
      <c r="P5" s="65535"/>
      <c r="Q5" s="65535"/>
      <c r="R5" s="65535"/>
      <c r="S5" s="65535"/>
      <c r="T5" s="65535"/>
      <c r="U5" s="65535"/>
      <c r="V5" s="65535"/>
      <c r="W5" s="65535"/>
      <c r="X5" s="65535"/>
      <c r="Y5" s="65535"/>
    </row>
    <row r="6" spans="2:25">
      <c r="B6" s="65535"/>
      <c r="C6" s="65535"/>
      <c r="D6" s="65535"/>
      <c r="E6" s="65535"/>
      <c r="F6" s="65535"/>
      <c r="G6" s="65535"/>
      <c r="H6" s="65535"/>
      <c r="I6" s="65535"/>
      <c r="J6" s="65535"/>
      <c r="K6" s="65535"/>
      <c r="L6" s="65535"/>
      <c r="M6" s="65535"/>
      <c r="N6" s="65535"/>
      <c r="O6" s="65535"/>
      <c r="P6" s="65535"/>
      <c r="Q6" s="65535"/>
      <c r="R6" s="65535"/>
      <c r="S6" s="65535"/>
      <c r="T6" s="65535"/>
      <c r="U6" s="65535"/>
      <c r="V6" s="65535"/>
      <c r="W6" s="65535"/>
      <c r="X6" s="65535"/>
      <c r="Y6" s="65535"/>
    </row>
    <row r="7" spans="2:25">
      <c r="B7" s="65535"/>
      <c r="C7" s="65535"/>
      <c r="D7" s="65535"/>
      <c r="E7" s="65535"/>
      <c r="F7" s="65535"/>
      <c r="G7" s="65535"/>
      <c r="H7" s="65535"/>
      <c r="I7" s="65535"/>
      <c r="J7" s="65535"/>
      <c r="K7" s="65535"/>
      <c r="L7" s="65535"/>
      <c r="M7" s="65535"/>
      <c r="N7" s="65535"/>
      <c r="O7" s="65535"/>
      <c r="P7" s="65535"/>
      <c r="Q7" s="65535"/>
      <c r="R7" s="65535"/>
      <c r="S7" s="65535"/>
      <c r="T7" s="65535"/>
      <c r="U7" s="65535"/>
      <c r="V7" s="65535"/>
      <c r="W7" s="65535"/>
      <c r="X7" s="65535"/>
      <c r="Y7" s="65535"/>
    </row>
    <row r="8" spans="2:25">
      <c r="B8" s="65535"/>
      <c r="C8" s="65535"/>
      <c r="D8" s="65535"/>
      <c r="E8" s="65535"/>
      <c r="F8" s="65535"/>
      <c r="G8" s="65535"/>
      <c r="H8" s="65535"/>
      <c r="I8" s="65535"/>
      <c r="J8" s="65535"/>
      <c r="K8" s="65535"/>
      <c r="L8" s="65535"/>
      <c r="M8" s="65535"/>
      <c r="N8" s="65535"/>
      <c r="O8" s="65535"/>
      <c r="P8" s="65535"/>
      <c r="Q8" s="65535"/>
      <c r="R8" s="65535"/>
      <c r="S8" s="65535"/>
      <c r="T8" s="65535"/>
      <c r="U8" s="65535"/>
      <c r="V8" s="65535"/>
      <c r="W8" s="65535"/>
      <c r="X8" s="65535"/>
      <c r="Y8" s="65535"/>
    </row>
    <row r="9" spans="2:25">
      <c r="B9" s="65535"/>
      <c r="C9" s="65535"/>
      <c r="D9" s="65535"/>
      <c r="E9" s="65535"/>
      <c r="F9" s="65535"/>
      <c r="G9" s="65535"/>
      <c r="H9" s="65535"/>
      <c r="I9" s="65535"/>
      <c r="J9" s="65535"/>
      <c r="K9" s="65535"/>
      <c r="L9" s="65535"/>
      <c r="M9" s="65535"/>
      <c r="N9" s="65535"/>
      <c r="O9" s="65535"/>
      <c r="P9" s="65535"/>
      <c r="Q9" s="65535"/>
      <c r="R9" s="65535"/>
      <c r="S9" s="65535"/>
      <c r="T9" s="65535"/>
      <c r="U9" s="65535"/>
      <c r="V9" s="65535"/>
      <c r="W9" s="65535"/>
      <c r="X9" s="65535"/>
      <c r="Y9" s="65535"/>
    </row>
    <row r="10" spans="2:25">
      <c r="B10" s="65535"/>
      <c r="C10" s="65535"/>
      <c r="D10" s="65535"/>
      <c r="E10" s="65535"/>
      <c r="F10" s="65535"/>
      <c r="G10" s="65535"/>
      <c r="H10" s="65535"/>
      <c r="I10" s="65535"/>
      <c r="J10" s="65535"/>
      <c r="K10" s="65535"/>
      <c r="L10" s="65535"/>
      <c r="M10" s="65535"/>
      <c r="N10" s="65535"/>
      <c r="O10" s="65535"/>
      <c r="P10" s="65535"/>
      <c r="Q10" s="65535"/>
      <c r="R10" s="65535"/>
      <c r="S10" s="65535"/>
      <c r="T10" s="65535"/>
      <c r="U10" s="65535"/>
      <c r="V10" s="65535"/>
      <c r="W10" s="65535"/>
      <c r="X10" s="65535"/>
      <c r="Y10" s="65535"/>
    </row>
    <row r="11" spans="2:25">
      <c r="B11" s="65535"/>
      <c r="C11" s="65535"/>
      <c r="D11" s="65535"/>
      <c r="E11" s="65535"/>
      <c r="F11" s="65535"/>
      <c r="G11" s="65535"/>
      <c r="H11" s="65535"/>
      <c r="I11" s="65535"/>
      <c r="J11" s="65535"/>
      <c r="K11" s="65535"/>
      <c r="L11" s="65535"/>
      <c r="M11" s="65535"/>
      <c r="N11" s="65535"/>
      <c r="O11" s="65535"/>
      <c r="P11" s="65535"/>
      <c r="Q11" s="65535"/>
      <c r="R11" s="65535"/>
      <c r="S11" s="65535"/>
      <c r="T11" s="65535"/>
      <c r="U11" s="65535"/>
      <c r="V11" s="65535"/>
      <c r="W11" s="65535"/>
      <c r="X11" s="65535"/>
      <c r="Y11" s="65535"/>
    </row>
    <row r="12" spans="2:25">
      <c r="B12" s="65535"/>
      <c r="C12" s="65535"/>
      <c r="D12" s="65535"/>
      <c r="E12" s="65535"/>
      <c r="F12" s="65535"/>
      <c r="G12" s="65535"/>
      <c r="H12" s="65535"/>
      <c r="I12" s="65535"/>
      <c r="J12" s="65535"/>
      <c r="K12" s="65535"/>
      <c r="L12" s="65535"/>
      <c r="M12" s="65535"/>
      <c r="N12" s="65535"/>
      <c r="O12" s="65535"/>
      <c r="P12" s="65535"/>
      <c r="Q12" s="65535"/>
      <c r="R12" s="65535"/>
      <c r="S12" s="65535"/>
      <c r="T12" s="65535"/>
      <c r="U12" s="65535"/>
      <c r="V12" s="65535"/>
      <c r="W12" s="65535"/>
      <c r="X12" s="65535"/>
      <c r="Y12" s="65535"/>
    </row>
    <row r="13" spans="2:25">
      <c r="B13" s="65535"/>
      <c r="C13" s="65535"/>
      <c r="D13" s="65535"/>
      <c r="E13" s="65535"/>
      <c r="F13" s="65535"/>
      <c r="G13" s="65535"/>
      <c r="H13" s="65535"/>
      <c r="I13" s="65535"/>
      <c r="J13" s="65535"/>
      <c r="K13" s="65535"/>
      <c r="L13" s="65535"/>
      <c r="M13" s="65535"/>
      <c r="N13" s="65535"/>
      <c r="O13" s="65535"/>
      <c r="P13" s="65535"/>
      <c r="Q13" s="65535"/>
      <c r="R13" s="65535"/>
      <c r="S13" s="65535"/>
      <c r="T13" s="65535"/>
      <c r="U13" s="65535"/>
      <c r="V13" s="65535"/>
      <c r="W13" s="65535"/>
      <c r="X13" s="65535"/>
      <c r="Y13" s="65535"/>
    </row>
    <row r="14" spans="2:25">
      <c r="B14" s="65535"/>
      <c r="C14" s="65535"/>
      <c r="D14" s="65535"/>
      <c r="E14" s="65535"/>
      <c r="F14" s="65535"/>
      <c r="G14" s="65535"/>
      <c r="H14" s="65535"/>
      <c r="I14" s="65535"/>
      <c r="J14" s="65535"/>
      <c r="K14" s="65535"/>
      <c r="L14" s="65535"/>
      <c r="M14" s="65535"/>
      <c r="N14" s="65535"/>
      <c r="O14" s="65535"/>
      <c r="P14" s="65535"/>
      <c r="Q14" s="65535"/>
      <c r="R14" s="65535"/>
      <c r="S14" s="65535"/>
      <c r="T14" s="65535"/>
      <c r="U14" s="65535"/>
      <c r="V14" s="65535"/>
      <c r="W14" s="65535"/>
      <c r="X14" s="65535"/>
      <c r="Y14" s="65535"/>
    </row>
    <row r="15" spans="2:25">
      <c r="B15" s="65535"/>
      <c r="C15" s="65535"/>
      <c r="D15" s="65535"/>
      <c r="E15" s="65535"/>
      <c r="F15" s="65535"/>
      <c r="G15" s="65535"/>
      <c r="H15" s="65535"/>
      <c r="I15" s="65535"/>
      <c r="J15" s="65535"/>
      <c r="K15" s="65535"/>
      <c r="L15" s="65535"/>
      <c r="M15" s="65535"/>
      <c r="N15" s="65535"/>
      <c r="O15" s="65535"/>
      <c r="P15" s="65535"/>
      <c r="Q15" s="65535"/>
      <c r="R15" s="65535"/>
      <c r="S15" s="65535"/>
      <c r="T15" s="65535"/>
      <c r="U15" s="65535"/>
      <c r="V15" s="65535"/>
      <c r="W15" s="65535"/>
      <c r="X15" s="65535"/>
      <c r="Y15" s="65535"/>
    </row>
    <row r="16" spans="2:25">
      <c r="B16" s="65535"/>
      <c r="C16" s="65535"/>
      <c r="D16" s="65535"/>
      <c r="E16" s="65535"/>
      <c r="F16" s="65535"/>
      <c r="G16" s="65535"/>
      <c r="H16" s="65535"/>
      <c r="I16" s="65535"/>
      <c r="J16" s="65535"/>
      <c r="K16" s="65535"/>
      <c r="L16" s="65535"/>
      <c r="M16" s="65535"/>
      <c r="N16" s="65535"/>
      <c r="O16" s="65535"/>
      <c r="P16" s="65535"/>
      <c r="Q16" s="65535"/>
      <c r="R16" s="65535"/>
      <c r="S16" s="65535"/>
      <c r="T16" s="65535"/>
      <c r="U16" s="65535"/>
      <c r="V16" s="65535"/>
      <c r="W16" s="65535"/>
      <c r="X16" s="65535"/>
      <c r="Y16" s="65535"/>
    </row>
    <row r="17" spans="2:25">
      <c r="B17" s="65535"/>
      <c r="C17" s="65535"/>
      <c r="D17" s="65535"/>
      <c r="E17" s="65535"/>
      <c r="F17" s="65535"/>
      <c r="G17" s="65535"/>
      <c r="H17" s="65535"/>
      <c r="I17" s="65535"/>
      <c r="J17" s="65535"/>
      <c r="K17" s="65535"/>
      <c r="L17" s="65535"/>
      <c r="M17" s="65535"/>
      <c r="N17" s="65535"/>
      <c r="O17" s="65535"/>
      <c r="P17" s="65535"/>
      <c r="Q17" s="65535"/>
      <c r="R17" s="65535"/>
      <c r="S17" s="65535"/>
      <c r="T17" s="65535"/>
      <c r="U17" s="65535"/>
      <c r="V17" s="65535"/>
      <c r="W17" s="65535"/>
      <c r="X17" s="65535"/>
      <c r="Y17" s="65535"/>
    </row>
    <row r="18" spans="2:25">
      <c r="B18" s="65535"/>
      <c r="C18" s="65535"/>
      <c r="D18" s="65535"/>
      <c r="E18" s="65535"/>
      <c r="F18" s="65535"/>
      <c r="G18" s="65535"/>
      <c r="H18" s="65535"/>
      <c r="I18" s="65535"/>
      <c r="J18" s="65535"/>
      <c r="K18" s="65535"/>
      <c r="L18" s="65535"/>
      <c r="M18" s="65535"/>
      <c r="N18" s="65535"/>
      <c r="O18" s="65535"/>
      <c r="P18" s="65535"/>
      <c r="Q18" s="65535"/>
      <c r="R18" s="65535"/>
      <c r="S18" s="65535"/>
      <c r="T18" s="65535"/>
      <c r="U18" s="65535"/>
      <c r="V18" s="65535"/>
      <c r="W18" s="65535"/>
      <c r="X18" s="65535"/>
      <c r="Y18" s="65535"/>
    </row>
    <row r="19" spans="2:25">
      <c r="B19" s="65535"/>
      <c r="C19" s="65535"/>
      <c r="D19" s="65535"/>
      <c r="E19" s="65535"/>
      <c r="F19" s="65535"/>
      <c r="G19" s="65535"/>
      <c r="H19" s="65535"/>
      <c r="I19" s="65535"/>
      <c r="J19" s="65535"/>
      <c r="K19" s="65535"/>
      <c r="L19" s="65535"/>
      <c r="M19" s="65535"/>
      <c r="N19" s="65535"/>
      <c r="O19" s="65535"/>
      <c r="P19" s="65535"/>
      <c r="Q19" s="65535"/>
      <c r="R19" s="65535"/>
      <c r="S19" s="65535"/>
      <c r="T19" s="65535"/>
      <c r="U19" s="65535"/>
      <c r="V19" s="65535"/>
      <c r="W19" s="65535"/>
      <c r="X19" s="65535"/>
      <c r="Y19" s="65535"/>
    </row>
    <row r="20" spans="2:25">
      <c r="B20" s="65535"/>
      <c r="C20" s="65535"/>
      <c r="D20" s="65535"/>
      <c r="E20" s="65535"/>
      <c r="F20" s="65535"/>
      <c r="G20" s="65535"/>
      <c r="H20" s="65535"/>
      <c r="I20" s="65535"/>
      <c r="J20" s="65535"/>
      <c r="K20" s="65535"/>
      <c r="L20" s="65535"/>
      <c r="M20" s="65535"/>
      <c r="N20" s="65535"/>
      <c r="O20" s="65535"/>
      <c r="P20" s="65535"/>
      <c r="Q20" s="65535"/>
      <c r="R20" s="65535"/>
      <c r="S20" s="65535"/>
      <c r="T20" s="65535"/>
      <c r="U20" s="65535"/>
      <c r="V20" s="65535"/>
      <c r="W20" s="65535"/>
      <c r="X20" s="65535"/>
      <c r="Y20" s="65535"/>
    </row>
    <row r="21" spans="2:25">
      <c r="B21" s="65535"/>
      <c r="C21" s="65535"/>
      <c r="D21" s="65535"/>
      <c r="E21" s="65535"/>
      <c r="F21" s="65535"/>
      <c r="G21" s="65535"/>
      <c r="H21" s="65535"/>
      <c r="I21" s="65535"/>
      <c r="J21" s="65535"/>
      <c r="K21" s="65535"/>
      <c r="L21" s="65535"/>
      <c r="M21" s="65535"/>
      <c r="N21" s="65535"/>
      <c r="O21" s="65535"/>
      <c r="P21" s="65535"/>
      <c r="Q21" s="65535"/>
      <c r="R21" s="65535"/>
      <c r="S21" s="65535"/>
      <c r="T21" s="65535"/>
      <c r="U21" s="65535"/>
      <c r="V21" s="65535"/>
      <c r="W21" s="65535"/>
      <c r="X21" s="65535"/>
      <c r="Y21" s="65535"/>
    </row>
    <row r="22" spans="2:25">
      <c r="B22" s="65535"/>
      <c r="C22" s="65535"/>
      <c r="D22" s="65535"/>
      <c r="E22" s="65535"/>
      <c r="F22" s="65535"/>
      <c r="G22" s="65535"/>
      <c r="H22" s="65535"/>
      <c r="I22" s="65535"/>
      <c r="J22" s="65535"/>
      <c r="K22" s="65535"/>
      <c r="L22" s="65535"/>
      <c r="M22" s="65535"/>
      <c r="N22" s="65535"/>
      <c r="O22" s="65535"/>
      <c r="P22" s="65535"/>
      <c r="Q22" s="65535"/>
      <c r="R22" s="65535"/>
      <c r="S22" s="65535"/>
      <c r="T22" s="65535"/>
      <c r="U22" s="65535"/>
      <c r="V22" s="65535"/>
      <c r="W22" s="65535"/>
      <c r="X22" s="65535"/>
      <c r="Y22" s="65535"/>
    </row>
    <row r="23" spans="2:25">
      <c r="B23" s="65535"/>
      <c r="C23" s="65535"/>
      <c r="D23" s="65535"/>
      <c r="E23" s="65535"/>
      <c r="F23" s="65535"/>
      <c r="G23" s="65535"/>
      <c r="H23" s="65535"/>
      <c r="I23" s="65535"/>
      <c r="J23" s="65535"/>
      <c r="K23" s="65535"/>
      <c r="L23" s="65535"/>
      <c r="M23" s="65535"/>
      <c r="N23" s="65535"/>
      <c r="O23" s="65535"/>
      <c r="P23" s="65535"/>
      <c r="Q23" s="65535"/>
      <c r="R23" s="65535"/>
      <c r="S23" s="65535"/>
      <c r="T23" s="65535"/>
      <c r="U23" s="65535"/>
      <c r="V23" s="65535"/>
      <c r="W23" s="65535"/>
      <c r="X23" s="65535"/>
      <c r="Y23" s="65535"/>
    </row>
    <row r="24" spans="2:25">
      <c r="B24" s="65535"/>
      <c r="C24" s="65535"/>
      <c r="D24" s="65535"/>
      <c r="E24" s="65535"/>
      <c r="F24" s="65535"/>
      <c r="G24" s="65535"/>
      <c r="H24" s="65535"/>
      <c r="I24" s="65535"/>
      <c r="J24" s="65535"/>
      <c r="K24" s="65535"/>
      <c r="L24" s="65535"/>
      <c r="M24" s="65535"/>
      <c r="N24" s="65535"/>
      <c r="O24" s="65535"/>
      <c r="P24" s="65535"/>
      <c r="Q24" s="65535"/>
      <c r="R24" s="65535"/>
      <c r="S24" s="65535"/>
      <c r="T24" s="65535"/>
      <c r="U24" s="65535"/>
      <c r="V24" s="65535"/>
      <c r="W24" s="65535"/>
      <c r="X24" s="65535"/>
      <c r="Y24" s="65535"/>
    </row>
    <row r="25" spans="2:25">
      <c r="B25" s="65535"/>
      <c r="C25" s="65535"/>
      <c r="D25" s="65535"/>
      <c r="E25" s="65535"/>
      <c r="F25" s="65535"/>
      <c r="G25" s="65535"/>
      <c r="H25" s="65535"/>
      <c r="I25" s="65535"/>
      <c r="J25" s="65535"/>
      <c r="K25" s="65535"/>
      <c r="L25" s="65535"/>
      <c r="M25" s="65535"/>
      <c r="N25" s="65535"/>
      <c r="O25" s="65535"/>
      <c r="P25" s="65535"/>
      <c r="Q25" s="65535"/>
      <c r="R25" s="65535"/>
      <c r="S25" s="65535"/>
      <c r="T25" s="65535"/>
      <c r="U25" s="65535"/>
      <c r="V25" s="65535"/>
      <c r="W25" s="65535"/>
      <c r="X25" s="65535"/>
      <c r="Y25" s="65535"/>
    </row>
    <row r="26" spans="2:25">
      <c r="B26" s="65535"/>
      <c r="C26" s="65535"/>
      <c r="D26" s="65535"/>
      <c r="E26" s="65535"/>
      <c r="F26" s="65535"/>
      <c r="G26" s="65535"/>
      <c r="H26" s="65535"/>
      <c r="I26" s="65535"/>
      <c r="J26" s="65535"/>
      <c r="K26" s="65535"/>
      <c r="L26" s="65535"/>
      <c r="M26" s="65535"/>
      <c r="N26" s="65535"/>
      <c r="O26" s="65535"/>
      <c r="P26" s="65535"/>
      <c r="Q26" s="65535"/>
      <c r="R26" s="65535"/>
      <c r="S26" s="65535"/>
      <c r="T26" s="65535"/>
      <c r="U26" s="65535"/>
      <c r="V26" s="65535"/>
      <c r="W26" s="65535"/>
      <c r="X26" s="65535"/>
      <c r="Y26" s="65535"/>
    </row>
    <row r="27" spans="2:25">
      <c r="B27" s="65535"/>
      <c r="C27" s="65535"/>
      <c r="D27" s="65535"/>
      <c r="E27" s="65535"/>
      <c r="F27" s="65535"/>
      <c r="G27" s="65535"/>
      <c r="H27" s="65535"/>
      <c r="I27" s="65535"/>
      <c r="J27" s="65535"/>
      <c r="K27" s="65535"/>
      <c r="L27" s="65535"/>
      <c r="M27" s="65535"/>
      <c r="N27" s="65535"/>
      <c r="O27" s="65535"/>
      <c r="P27" s="65535"/>
      <c r="Q27" s="65535"/>
      <c r="R27" s="65535"/>
      <c r="S27" s="65535"/>
      <c r="T27" s="65535"/>
      <c r="U27" s="65535"/>
      <c r="V27" s="65535"/>
      <c r="W27" s="65535"/>
      <c r="X27" s="65535"/>
      <c r="Y27" s="65535"/>
    </row>
    <row r="28" spans="2:25" ht="15" thickBot="1">
      <c r="B28" s="65535"/>
      <c r="C28" s="65535"/>
      <c r="D28" s="65535"/>
      <c r="E28" s="65535"/>
      <c r="F28" s="65535"/>
      <c r="G28" s="65535"/>
      <c r="H28" s="65535"/>
      <c r="I28" s="65535"/>
      <c r="J28" s="65535"/>
      <c r="K28" s="65535"/>
      <c r="L28" s="65535"/>
      <c r="M28" s="65535"/>
      <c r="N28" s="65535"/>
      <c r="O28" s="65535"/>
      <c r="P28" s="65535"/>
      <c r="Q28" s="65535"/>
      <c r="R28" s="65535"/>
      <c r="S28" s="65535"/>
      <c r="T28" s="65535"/>
      <c r="U28" s="65535"/>
      <c r="V28" s="65535"/>
      <c r="W28" s="65535"/>
      <c r="X28" s="65535"/>
      <c r="Y28" s="655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0E4B-78CD-45FF-A911-F34B753D35FE}">
  <dimension ref="B1:AA30"/>
  <sheetViews>
    <sheetView showGridLines="0" zoomScale="83" workbookViewId="0"/>
  </sheetViews>
  <sheetFormatPr defaultRowHeight="14.4"/>
  <sheetData>
    <row r="1" spans="2:27" ht="15" thickBot="1"/>
    <row r="2" spans="2:27">
      <c r="B2" s="65535"/>
      <c r="C2" s="65535"/>
      <c r="D2" s="65535"/>
      <c r="E2" s="65535"/>
      <c r="F2" s="65535"/>
      <c r="G2" s="65535"/>
      <c r="H2" s="65535"/>
      <c r="I2" s="65535"/>
      <c r="J2" s="65535"/>
      <c r="K2" s="65535"/>
      <c r="L2" s="65535"/>
      <c r="M2" s="65535"/>
      <c r="N2" s="65535"/>
      <c r="O2" s="65535"/>
      <c r="P2" s="65535"/>
      <c r="Q2" s="65535"/>
      <c r="R2" s="65535"/>
      <c r="S2" s="65535"/>
      <c r="T2" s="65535"/>
      <c r="U2" s="65535"/>
      <c r="V2" s="65535"/>
      <c r="W2" s="65535"/>
      <c r="X2" s="65535"/>
      <c r="Y2" s="65535"/>
      <c r="Z2" s="65535"/>
      <c r="AA2" s="65535"/>
    </row>
    <row r="3" spans="2:27">
      <c r="B3" s="65535"/>
      <c r="C3" s="65535"/>
      <c r="D3" s="65535"/>
      <c r="E3" s="65535"/>
      <c r="F3" s="65535"/>
      <c r="G3" s="65535"/>
      <c r="H3" s="65535"/>
      <c r="I3" s="65535"/>
      <c r="J3" s="65535"/>
      <c r="K3" s="65535"/>
      <c r="L3" s="65535"/>
      <c r="M3" s="65535"/>
      <c r="N3" s="65535"/>
      <c r="O3" s="65535"/>
      <c r="P3" s="65535"/>
      <c r="Q3" s="65535"/>
      <c r="R3" s="65535"/>
      <c r="S3" s="65535"/>
      <c r="T3" s="65535"/>
      <c r="U3" s="65535"/>
      <c r="V3" s="65535"/>
      <c r="W3" s="65535"/>
      <c r="X3" s="65535"/>
      <c r="Y3" s="65535"/>
      <c r="Z3" s="65535"/>
      <c r="AA3" s="65535"/>
    </row>
    <row r="4" spans="2:27">
      <c r="B4" s="65535"/>
      <c r="C4" s="65535"/>
      <c r="D4" s="65535"/>
      <c r="E4" s="65535"/>
      <c r="F4" s="65535"/>
      <c r="G4" s="65535"/>
      <c r="H4" s="65535"/>
      <c r="I4" s="65535"/>
      <c r="J4" s="65535"/>
      <c r="K4" s="65535"/>
      <c r="L4" s="65535"/>
      <c r="M4" s="65535"/>
      <c r="N4" s="65535"/>
      <c r="O4" s="65535"/>
      <c r="P4" s="65535"/>
      <c r="Q4" s="65535"/>
      <c r="R4" s="65535"/>
      <c r="S4" s="65535"/>
      <c r="T4" s="65535"/>
      <c r="U4" s="65535"/>
      <c r="V4" s="65535"/>
      <c r="W4" s="65535"/>
      <c r="X4" s="65535"/>
      <c r="Y4" s="65535"/>
      <c r="Z4" s="65535"/>
      <c r="AA4" s="65535"/>
    </row>
    <row r="5" spans="2:27">
      <c r="B5" s="65535"/>
      <c r="C5" s="65535"/>
      <c r="D5" s="65535"/>
      <c r="E5" s="65535"/>
      <c r="F5" s="65535"/>
      <c r="G5" s="65535"/>
      <c r="H5" s="65535"/>
      <c r="I5" s="65535"/>
      <c r="J5" s="65535"/>
      <c r="K5" s="65535"/>
      <c r="L5" s="65535"/>
      <c r="M5" s="65535"/>
      <c r="N5" s="65535"/>
      <c r="O5" s="65535"/>
      <c r="P5" s="65535"/>
      <c r="Q5" s="65535"/>
      <c r="R5" s="65535"/>
      <c r="S5" s="65535"/>
      <c r="T5" s="65535"/>
      <c r="U5" s="65535"/>
      <c r="V5" s="65535"/>
      <c r="W5" s="65535"/>
      <c r="X5" s="65535"/>
      <c r="Y5" s="65535"/>
      <c r="Z5" s="65535"/>
      <c r="AA5" s="65535"/>
    </row>
    <row r="6" spans="2:27">
      <c r="B6" s="65535"/>
      <c r="C6" s="65535"/>
      <c r="D6" s="65535"/>
      <c r="E6" s="65535"/>
      <c r="F6" s="65535"/>
      <c r="G6" s="65535"/>
      <c r="H6" s="65535"/>
      <c r="I6" s="65535"/>
      <c r="J6" s="65535"/>
      <c r="K6" s="65535"/>
      <c r="L6" s="65535"/>
      <c r="M6" s="65535"/>
      <c r="N6" s="65535"/>
      <c r="O6" s="65535"/>
      <c r="P6" s="65535"/>
      <c r="Q6" s="65535"/>
      <c r="R6" s="65535"/>
      <c r="S6" s="65535"/>
      <c r="T6" s="65535"/>
      <c r="U6" s="65535"/>
      <c r="V6" s="65535"/>
      <c r="W6" s="65535"/>
      <c r="X6" s="65535"/>
      <c r="Y6" s="65535"/>
      <c r="Z6" s="65535"/>
      <c r="AA6" s="65535"/>
    </row>
    <row r="7" spans="2:27">
      <c r="B7" s="65535"/>
      <c r="C7" s="65535"/>
      <c r="D7" s="65535"/>
      <c r="E7" s="65535"/>
      <c r="F7" s="65535"/>
      <c r="G7" s="65535"/>
      <c r="H7" s="65535"/>
      <c r="I7" s="65535"/>
      <c r="J7" s="65535"/>
      <c r="K7" s="65535"/>
      <c r="L7" s="65535"/>
      <c r="M7" s="65535"/>
      <c r="N7" s="65535"/>
      <c r="O7" s="65535"/>
      <c r="P7" s="65535"/>
      <c r="Q7" s="65535"/>
      <c r="R7" s="65535"/>
      <c r="S7" s="65535"/>
      <c r="T7" s="65535"/>
      <c r="U7" s="65535"/>
      <c r="V7" s="65535"/>
      <c r="W7" s="65535"/>
      <c r="X7" s="65535"/>
      <c r="Y7" s="65535"/>
      <c r="Z7" s="65535"/>
      <c r="AA7" s="65535"/>
    </row>
    <row r="8" spans="2:27">
      <c r="B8" s="65535"/>
      <c r="C8" s="65535"/>
      <c r="D8" s="65535"/>
      <c r="E8" s="65535"/>
      <c r="F8" s="65535"/>
      <c r="G8" s="65535"/>
      <c r="H8" s="65535"/>
      <c r="I8" s="65535"/>
      <c r="J8" s="65535"/>
      <c r="K8" s="65535"/>
      <c r="L8" s="65535"/>
      <c r="M8" s="65535"/>
      <c r="N8" s="65535"/>
      <c r="O8" s="65535"/>
      <c r="P8" s="65535"/>
      <c r="Q8" s="65535"/>
      <c r="R8" s="65535"/>
      <c r="S8" s="65535"/>
      <c r="T8" s="65535"/>
      <c r="U8" s="65535"/>
      <c r="V8" s="65535"/>
      <c r="W8" s="65535"/>
      <c r="X8" s="65535"/>
      <c r="Y8" s="65535"/>
      <c r="Z8" s="65535"/>
      <c r="AA8" s="65535"/>
    </row>
    <row r="9" spans="2:27">
      <c r="B9" s="65535"/>
      <c r="C9" s="65535"/>
      <c r="D9" s="65535"/>
      <c r="E9" s="65535"/>
      <c r="F9" s="65535"/>
      <c r="G9" s="65535"/>
      <c r="H9" s="65535"/>
      <c r="I9" s="65535"/>
      <c r="J9" s="65535"/>
      <c r="K9" s="65535"/>
      <c r="L9" s="65535"/>
      <c r="M9" s="65535"/>
      <c r="N9" s="65535"/>
      <c r="O9" s="65535"/>
      <c r="P9" s="65535"/>
      <c r="Q9" s="65535"/>
      <c r="R9" s="65535"/>
      <c r="S9" s="65535"/>
      <c r="T9" s="65535"/>
      <c r="U9" s="65535"/>
      <c r="V9" s="65535"/>
      <c r="W9" s="65535"/>
      <c r="X9" s="65535"/>
      <c r="Y9" s="65535"/>
      <c r="Z9" s="65535"/>
      <c r="AA9" s="65535"/>
    </row>
    <row r="10" spans="2:27">
      <c r="B10" s="65535"/>
      <c r="C10" s="65535"/>
      <c r="D10" s="65535"/>
      <c r="E10" s="65535"/>
      <c r="F10" s="65535"/>
      <c r="G10" s="65535"/>
      <c r="H10" s="65535"/>
      <c r="I10" s="65535"/>
      <c r="J10" s="65535"/>
      <c r="K10" s="65535"/>
      <c r="L10" s="65535"/>
      <c r="M10" s="65535"/>
      <c r="N10" s="65535"/>
      <c r="O10" s="65535"/>
      <c r="P10" s="65535"/>
      <c r="Q10" s="65535"/>
      <c r="R10" s="65535"/>
      <c r="S10" s="65535"/>
      <c r="T10" s="65535"/>
      <c r="U10" s="65535"/>
      <c r="V10" s="65535"/>
      <c r="W10" s="65535"/>
      <c r="X10" s="65535"/>
      <c r="Y10" s="65535"/>
      <c r="Z10" s="65535"/>
      <c r="AA10" s="65535"/>
    </row>
    <row r="11" spans="2:27">
      <c r="B11" s="65535"/>
      <c r="C11" s="65535"/>
      <c r="D11" s="65535"/>
      <c r="E11" s="65535"/>
      <c r="F11" s="65535"/>
      <c r="G11" s="65535"/>
      <c r="H11" s="65535"/>
      <c r="I11" s="65535"/>
      <c r="J11" s="65535"/>
      <c r="K11" s="65535"/>
      <c r="L11" s="65535"/>
      <c r="M11" s="65535"/>
      <c r="N11" s="65535"/>
      <c r="O11" s="65535"/>
      <c r="P11" s="65535"/>
      <c r="Q11" s="65535"/>
      <c r="R11" s="65535"/>
      <c r="S11" s="65535"/>
      <c r="T11" s="65535"/>
      <c r="U11" s="65535"/>
      <c r="V11" s="65535"/>
      <c r="W11" s="65535"/>
      <c r="X11" s="65535"/>
      <c r="Y11" s="65535"/>
      <c r="Z11" s="65535"/>
      <c r="AA11" s="65535"/>
    </row>
    <row r="12" spans="2:27">
      <c r="B12" s="65535"/>
      <c r="C12" s="65535"/>
      <c r="D12" s="65535"/>
      <c r="E12" s="65535"/>
      <c r="F12" s="65535"/>
      <c r="G12" s="65535"/>
      <c r="H12" s="65535"/>
      <c r="I12" s="65535"/>
      <c r="J12" s="65535"/>
      <c r="K12" s="65535"/>
      <c r="L12" s="65535"/>
      <c r="M12" s="65535"/>
      <c r="N12" s="65535"/>
      <c r="O12" s="65535"/>
      <c r="P12" s="65535"/>
      <c r="Q12" s="65535"/>
      <c r="R12" s="65535"/>
      <c r="S12" s="65535"/>
      <c r="T12" s="65535"/>
      <c r="U12" s="65535"/>
      <c r="V12" s="65535"/>
      <c r="W12" s="65535"/>
      <c r="X12" s="65535"/>
      <c r="Y12" s="65535"/>
      <c r="Z12" s="65535"/>
      <c r="AA12" s="65535"/>
    </row>
    <row r="13" spans="2:27">
      <c r="B13" s="65535"/>
      <c r="C13" s="65535"/>
      <c r="D13" s="65535"/>
      <c r="E13" s="65535"/>
      <c r="F13" s="65535"/>
      <c r="G13" s="65535"/>
      <c r="H13" s="65535"/>
      <c r="I13" s="65535"/>
      <c r="J13" s="65535"/>
      <c r="K13" s="65535"/>
      <c r="L13" s="65535"/>
      <c r="M13" s="65535"/>
      <c r="N13" s="65535"/>
      <c r="O13" s="65535"/>
      <c r="P13" s="65535"/>
      <c r="Q13" s="65535"/>
      <c r="R13" s="65535"/>
      <c r="S13" s="65535"/>
      <c r="T13" s="65535"/>
      <c r="U13" s="65535"/>
      <c r="V13" s="65535"/>
      <c r="W13" s="65535"/>
      <c r="X13" s="65535"/>
      <c r="Y13" s="65535"/>
      <c r="Z13" s="65535"/>
      <c r="AA13" s="65535"/>
    </row>
    <row r="14" spans="2:27">
      <c r="B14" s="65535"/>
      <c r="C14" s="65535"/>
      <c r="D14" s="65535"/>
      <c r="E14" s="65535"/>
      <c r="F14" s="65535"/>
      <c r="G14" s="65535"/>
      <c r="H14" s="65535"/>
      <c r="I14" s="65535"/>
      <c r="J14" s="65535"/>
      <c r="K14" s="65535"/>
      <c r="L14" s="65535"/>
      <c r="M14" s="65535"/>
      <c r="N14" s="65535"/>
      <c r="O14" s="65535"/>
      <c r="P14" s="65535"/>
      <c r="Q14" s="65535"/>
      <c r="R14" s="65535"/>
      <c r="S14" s="65535"/>
      <c r="T14" s="65535"/>
      <c r="U14" s="65535"/>
      <c r="V14" s="65535"/>
      <c r="W14" s="65535"/>
      <c r="X14" s="65535"/>
      <c r="Y14" s="65535"/>
      <c r="Z14" s="65535"/>
      <c r="AA14" s="65535"/>
    </row>
    <row r="15" spans="2:27">
      <c r="B15" s="65535"/>
      <c r="C15" s="65535"/>
      <c r="D15" s="65535"/>
      <c r="E15" s="65535"/>
      <c r="F15" s="65535"/>
      <c r="G15" s="65535"/>
      <c r="H15" s="65535"/>
      <c r="I15" s="65535"/>
      <c r="J15" s="65535"/>
      <c r="K15" s="65535"/>
      <c r="L15" s="65535"/>
      <c r="M15" s="65535"/>
      <c r="N15" s="65535"/>
      <c r="O15" s="65535"/>
      <c r="P15" s="65535"/>
      <c r="Q15" s="65535"/>
      <c r="R15" s="65535"/>
      <c r="S15" s="65535"/>
      <c r="T15" s="65535"/>
      <c r="U15" s="65535"/>
      <c r="V15" s="65535"/>
      <c r="W15" s="65535"/>
      <c r="X15" s="65535"/>
      <c r="Y15" s="65535"/>
      <c r="Z15" s="65535"/>
      <c r="AA15" s="65535"/>
    </row>
    <row r="16" spans="2:27">
      <c r="B16" s="65535"/>
      <c r="C16" s="65535"/>
      <c r="D16" s="65535"/>
      <c r="E16" s="65535"/>
      <c r="F16" s="65535"/>
      <c r="G16" s="65535"/>
      <c r="H16" s="65535"/>
      <c r="I16" s="65535"/>
      <c r="J16" s="65535"/>
      <c r="K16" s="65535"/>
      <c r="L16" s="65535"/>
      <c r="M16" s="65535"/>
      <c r="N16" s="65535"/>
      <c r="O16" s="65535"/>
      <c r="P16" s="65535"/>
      <c r="Q16" s="65535"/>
      <c r="R16" s="65535"/>
      <c r="S16" s="65535"/>
      <c r="T16" s="65535"/>
      <c r="U16" s="65535"/>
      <c r="V16" s="65535"/>
      <c r="W16" s="65535"/>
      <c r="X16" s="65535"/>
      <c r="Y16" s="65535"/>
      <c r="Z16" s="65535"/>
      <c r="AA16" s="65535"/>
    </row>
    <row r="17" spans="2:27">
      <c r="B17" s="65535"/>
      <c r="C17" s="65535"/>
      <c r="D17" s="65535"/>
      <c r="E17" s="65535"/>
      <c r="F17" s="65535"/>
      <c r="G17" s="65535"/>
      <c r="H17" s="65535"/>
      <c r="I17" s="65535"/>
      <c r="J17" s="65535"/>
      <c r="K17" s="65535"/>
      <c r="L17" s="65535"/>
      <c r="M17" s="65535"/>
      <c r="N17" s="65535"/>
      <c r="O17" s="65535"/>
      <c r="P17" s="65535"/>
      <c r="Q17" s="65535"/>
      <c r="R17" s="65535"/>
      <c r="S17" s="65535"/>
      <c r="T17" s="65535"/>
      <c r="U17" s="65535"/>
      <c r="V17" s="65535"/>
      <c r="W17" s="65535"/>
      <c r="X17" s="65535"/>
      <c r="Y17" s="65535"/>
      <c r="Z17" s="65535"/>
      <c r="AA17" s="65535"/>
    </row>
    <row r="18" spans="2:27">
      <c r="B18" s="65535"/>
      <c r="C18" s="65535"/>
      <c r="D18" s="65535"/>
      <c r="E18" s="65535"/>
      <c r="F18" s="65535"/>
      <c r="G18" s="65535"/>
      <c r="H18" s="65535"/>
      <c r="I18" s="65535"/>
      <c r="J18" s="65535"/>
      <c r="K18" s="65535"/>
      <c r="L18" s="65535"/>
      <c r="M18" s="65535"/>
      <c r="N18" s="65535"/>
      <c r="O18" s="65535"/>
      <c r="P18" s="65535"/>
      <c r="Q18" s="65535"/>
      <c r="R18" s="65535"/>
      <c r="S18" s="65535"/>
      <c r="T18" s="65535"/>
      <c r="U18" s="65535"/>
      <c r="V18" s="65535"/>
      <c r="W18" s="65535"/>
      <c r="X18" s="65535"/>
      <c r="Y18" s="65535"/>
      <c r="Z18" s="65535"/>
      <c r="AA18" s="65535"/>
    </row>
    <row r="19" spans="2:27">
      <c r="B19" s="65535"/>
      <c r="C19" s="65535"/>
      <c r="D19" s="65535"/>
      <c r="E19" s="65535"/>
      <c r="F19" s="65535"/>
      <c r="G19" s="65535"/>
      <c r="H19" s="65535"/>
      <c r="I19" s="65535"/>
      <c r="J19" s="65535"/>
      <c r="K19" s="65535"/>
      <c r="L19" s="65535"/>
      <c r="M19" s="65535"/>
      <c r="N19" s="65535"/>
      <c r="O19" s="65535"/>
      <c r="P19" s="65535"/>
      <c r="Q19" s="65535"/>
      <c r="R19" s="65535"/>
      <c r="S19" s="65535"/>
      <c r="T19" s="65535"/>
      <c r="U19" s="65535"/>
      <c r="V19" s="65535"/>
      <c r="W19" s="65535"/>
      <c r="X19" s="65535"/>
      <c r="Y19" s="65535"/>
      <c r="Z19" s="65535"/>
      <c r="AA19" s="65535"/>
    </row>
    <row r="20" spans="2:27">
      <c r="B20" s="65535"/>
      <c r="C20" s="65535"/>
      <c r="D20" s="65535"/>
      <c r="E20" s="65535"/>
      <c r="F20" s="65535"/>
      <c r="G20" s="65535"/>
      <c r="H20" s="65535"/>
      <c r="I20" s="65535"/>
      <c r="J20" s="65535"/>
      <c r="K20" s="65535"/>
      <c r="L20" s="65535"/>
      <c r="M20" s="65535"/>
      <c r="N20" s="65535"/>
      <c r="O20" s="65535"/>
      <c r="P20" s="65535"/>
      <c r="Q20" s="65535"/>
      <c r="R20" s="65535"/>
      <c r="S20" s="65535"/>
      <c r="T20" s="65535"/>
      <c r="U20" s="65535"/>
      <c r="V20" s="65535"/>
      <c r="W20" s="65535"/>
      <c r="X20" s="65535"/>
      <c r="Y20" s="65535"/>
      <c r="Z20" s="65535"/>
      <c r="AA20" s="65535"/>
    </row>
    <row r="21" spans="2:27">
      <c r="B21" s="65535"/>
      <c r="C21" s="65535"/>
      <c r="D21" s="65535"/>
      <c r="E21" s="65535"/>
      <c r="F21" s="65535"/>
      <c r="G21" s="65535"/>
      <c r="H21" s="65535"/>
      <c r="I21" s="65535"/>
      <c r="J21" s="65535"/>
      <c r="K21" s="65535"/>
      <c r="L21" s="65535"/>
      <c r="M21" s="65535"/>
      <c r="N21" s="65535"/>
      <c r="O21" s="65535"/>
      <c r="P21" s="65535"/>
      <c r="Q21" s="65535"/>
      <c r="R21" s="65535"/>
      <c r="S21" s="65535"/>
      <c r="T21" s="65535"/>
      <c r="U21" s="65535"/>
      <c r="V21" s="65535"/>
      <c r="W21" s="65535"/>
      <c r="X21" s="65535"/>
      <c r="Y21" s="65535"/>
      <c r="Z21" s="65535"/>
      <c r="AA21" s="65535"/>
    </row>
    <row r="22" spans="2:27">
      <c r="B22" s="65535"/>
      <c r="C22" s="65535"/>
      <c r="D22" s="65535"/>
      <c r="E22" s="65535"/>
      <c r="F22" s="65535"/>
      <c r="G22" s="65535"/>
      <c r="H22" s="65535"/>
      <c r="I22" s="65535"/>
      <c r="J22" s="65535"/>
      <c r="K22" s="65535"/>
      <c r="L22" s="65535"/>
      <c r="M22" s="65535"/>
      <c r="N22" s="65535"/>
      <c r="O22" s="65535"/>
      <c r="P22" s="65535"/>
      <c r="Q22" s="65535"/>
      <c r="R22" s="65535"/>
      <c r="S22" s="65535"/>
      <c r="T22" s="65535"/>
      <c r="U22" s="65535"/>
      <c r="V22" s="65535"/>
      <c r="W22" s="65535"/>
      <c r="X22" s="65535"/>
      <c r="Y22" s="65535"/>
      <c r="Z22" s="65535"/>
      <c r="AA22" s="65535"/>
    </row>
    <row r="23" spans="2:27">
      <c r="B23" s="65535"/>
      <c r="C23" s="65535"/>
      <c r="D23" s="65535"/>
      <c r="E23" s="65535"/>
      <c r="F23" s="65535"/>
      <c r="G23" s="65535"/>
      <c r="H23" s="65535"/>
      <c r="I23" s="65535"/>
      <c r="J23" s="65535"/>
      <c r="K23" s="65535"/>
      <c r="L23" s="65535"/>
      <c r="M23" s="65535"/>
      <c r="N23" s="65535"/>
      <c r="O23" s="65535"/>
      <c r="P23" s="65535"/>
      <c r="Q23" s="65535"/>
      <c r="R23" s="65535"/>
      <c r="S23" s="65535"/>
      <c r="T23" s="65535"/>
      <c r="U23" s="65535"/>
      <c r="V23" s="65535"/>
      <c r="W23" s="65535"/>
      <c r="X23" s="65535"/>
      <c r="Y23" s="65535"/>
      <c r="Z23" s="65535"/>
      <c r="AA23" s="65535"/>
    </row>
    <row r="24" spans="2:27">
      <c r="B24" s="65535"/>
      <c r="C24" s="65535"/>
      <c r="D24" s="65535"/>
      <c r="E24" s="65535"/>
      <c r="F24" s="65535"/>
      <c r="G24" s="65535"/>
      <c r="H24" s="65535"/>
      <c r="I24" s="65535"/>
      <c r="J24" s="65535"/>
      <c r="K24" s="65535"/>
      <c r="L24" s="65535"/>
      <c r="M24" s="65535"/>
      <c r="N24" s="65535"/>
      <c r="O24" s="65535"/>
      <c r="P24" s="65535"/>
      <c r="Q24" s="65535"/>
      <c r="R24" s="65535"/>
      <c r="S24" s="65535"/>
      <c r="T24" s="65535"/>
      <c r="U24" s="65535"/>
      <c r="V24" s="65535"/>
      <c r="W24" s="65535"/>
      <c r="X24" s="65535"/>
      <c r="Y24" s="65535"/>
      <c r="Z24" s="65535"/>
      <c r="AA24" s="65535"/>
    </row>
    <row r="25" spans="2:27">
      <c r="B25" s="65535"/>
      <c r="C25" s="65535"/>
      <c r="D25" s="65535"/>
      <c r="E25" s="65535"/>
      <c r="F25" s="65535"/>
      <c r="G25" s="65535"/>
      <c r="H25" s="65535"/>
      <c r="I25" s="65535"/>
      <c r="J25" s="65535"/>
      <c r="K25" s="65535"/>
      <c r="L25" s="65535"/>
      <c r="M25" s="65535"/>
      <c r="N25" s="65535"/>
      <c r="O25" s="65535"/>
      <c r="P25" s="65535"/>
      <c r="Q25" s="65535"/>
      <c r="R25" s="65535"/>
      <c r="S25" s="65535"/>
      <c r="T25" s="65535"/>
      <c r="U25" s="65535"/>
      <c r="V25" s="65535"/>
      <c r="W25" s="65535"/>
      <c r="X25" s="65535"/>
      <c r="Y25" s="65535"/>
      <c r="Z25" s="65535"/>
      <c r="AA25" s="65535"/>
    </row>
    <row r="26" spans="2:27">
      <c r="B26" s="65535"/>
      <c r="C26" s="65535"/>
      <c r="D26" s="65535"/>
      <c r="E26" s="65535"/>
      <c r="F26" s="65535"/>
      <c r="G26" s="65535"/>
      <c r="H26" s="65535"/>
      <c r="I26" s="65535"/>
      <c r="J26" s="65535"/>
      <c r="K26" s="65535"/>
      <c r="L26" s="65535"/>
      <c r="M26" s="65535"/>
      <c r="N26" s="65535"/>
      <c r="O26" s="65535"/>
      <c r="P26" s="65535"/>
      <c r="Q26" s="65535"/>
      <c r="R26" s="65535"/>
      <c r="S26" s="65535"/>
      <c r="T26" s="65535"/>
      <c r="U26" s="65535"/>
      <c r="V26" s="65535"/>
      <c r="W26" s="65535"/>
      <c r="X26" s="65535"/>
      <c r="Y26" s="65535"/>
      <c r="Z26" s="65535"/>
      <c r="AA26" s="65535"/>
    </row>
    <row r="27" spans="2:27">
      <c r="B27" s="65535"/>
      <c r="C27" s="65535"/>
      <c r="D27" s="65535"/>
      <c r="E27" s="65535"/>
      <c r="F27" s="65535"/>
      <c r="G27" s="65535"/>
      <c r="H27" s="65535"/>
      <c r="I27" s="65535"/>
      <c r="J27" s="65535"/>
      <c r="K27" s="65535"/>
      <c r="L27" s="65535"/>
      <c r="M27" s="65535"/>
      <c r="N27" s="65535"/>
      <c r="O27" s="65535"/>
      <c r="P27" s="65535"/>
      <c r="Q27" s="65535"/>
      <c r="R27" s="65535"/>
      <c r="S27" s="65535"/>
      <c r="T27" s="65535"/>
      <c r="U27" s="65535"/>
      <c r="V27" s="65535"/>
      <c r="W27" s="65535"/>
      <c r="X27" s="65535"/>
      <c r="Y27" s="65535"/>
      <c r="Z27" s="65535"/>
      <c r="AA27" s="65535"/>
    </row>
    <row r="28" spans="2:27">
      <c r="B28" s="65535"/>
      <c r="C28" s="65535"/>
      <c r="D28" s="65535"/>
      <c r="E28" s="65535"/>
      <c r="F28" s="65535"/>
      <c r="G28" s="65535"/>
      <c r="H28" s="65535"/>
      <c r="I28" s="65535"/>
      <c r="J28" s="65535"/>
      <c r="K28" s="65535"/>
      <c r="L28" s="65535"/>
      <c r="M28" s="65535"/>
      <c r="N28" s="65535"/>
      <c r="O28" s="65535"/>
      <c r="P28" s="65535"/>
      <c r="Q28" s="65535"/>
      <c r="R28" s="65535"/>
      <c r="S28" s="65535"/>
      <c r="T28" s="65535"/>
      <c r="U28" s="65535"/>
      <c r="V28" s="65535"/>
      <c r="W28" s="65535"/>
      <c r="X28" s="65535"/>
      <c r="Y28" s="65535"/>
      <c r="Z28" s="65535"/>
      <c r="AA28" s="65535"/>
    </row>
    <row r="29" spans="2:27">
      <c r="B29" s="65535"/>
      <c r="C29" s="65535"/>
      <c r="D29" s="65535"/>
      <c r="E29" s="65535"/>
      <c r="F29" s="65535"/>
      <c r="G29" s="65535"/>
      <c r="H29" s="65535"/>
      <c r="I29" s="65535"/>
      <c r="J29" s="65535"/>
      <c r="K29" s="65535"/>
      <c r="L29" s="65535"/>
      <c r="M29" s="65535"/>
      <c r="N29" s="65535"/>
      <c r="O29" s="65535"/>
      <c r="P29" s="65535"/>
      <c r="Q29" s="65535"/>
      <c r="R29" s="65535"/>
      <c r="S29" s="65535"/>
      <c r="T29" s="65535"/>
      <c r="U29" s="65535"/>
      <c r="V29" s="65535"/>
      <c r="W29" s="65535"/>
      <c r="X29" s="65535"/>
      <c r="Y29" s="65535"/>
      <c r="Z29" s="65535"/>
      <c r="AA29" s="65535"/>
    </row>
    <row r="30" spans="2:27" ht="15" thickBot="1">
      <c r="B30" s="65535"/>
      <c r="C30" s="65535"/>
      <c r="D30" s="65535"/>
      <c r="E30" s="65535"/>
      <c r="F30" s="65535"/>
      <c r="G30" s="65535"/>
      <c r="H30" s="65535"/>
      <c r="I30" s="65535"/>
      <c r="J30" s="65535"/>
      <c r="K30" s="65535"/>
      <c r="L30" s="65535"/>
      <c r="M30" s="65535"/>
      <c r="N30" s="65535"/>
      <c r="O30" s="65535"/>
      <c r="P30" s="65535"/>
      <c r="Q30" s="65535"/>
      <c r="R30" s="65535"/>
      <c r="S30" s="65535"/>
      <c r="T30" s="65535"/>
      <c r="U30" s="65535"/>
      <c r="V30" s="65535"/>
      <c r="W30" s="65535"/>
      <c r="X30" s="65535"/>
      <c r="Y30" s="65535"/>
      <c r="Z30" s="65535"/>
      <c r="AA30" s="655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Case Study Perform</vt:lpstr>
      <vt:lpstr>Dashboard1PivotTables</vt:lpstr>
      <vt:lpstr>Dashboard2PivotTables </vt:lpstr>
      <vt:lpstr>Dashboard3PivotTables</vt:lpstr>
      <vt:lpstr>SALES PERFORMANCE DASHBOARD</vt:lpstr>
      <vt:lpstr> PRODUCT PERFORMANCE DASHBOARD </vt:lpstr>
      <vt:lpstr>REGIONAL BUSINESS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pragati kokane</dc:creator>
  <cp:lastModifiedBy>pragati kokane</cp:lastModifiedBy>
  <dcterms:created xsi:type="dcterms:W3CDTF">2026-07-01T04:13:11Z</dcterms:created>
  <dcterms:modified xsi:type="dcterms:W3CDTF">2026-07-02T06:00:29Z</dcterms:modified>
</cp:coreProperties>
</file>